
<file path=[Content_Types].xml><?xml version="1.0" encoding="utf-8"?>
<Types xmlns="http://schemas.openxmlformats.org/package/2006/content-types">
  <Default Extension="bin" ContentType="application/vnd.openxmlformats-officedocument.spreadsheetml.printerSettings"/>
  <Default Extension="data" ContentType="application/vnd.openxmlformats-officedocument.model+data"/>
  <Default Extension="emf" ContentType="image/x-emf"/>
  <Default Extension="png" ContentType="image/png"/>
  <Default Extension="rels" ContentType="application/vnd.openxmlformats-package.relationships+xml"/>
  <Default Extension="svg" ContentType="image/svg+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pivotCache/pivotCacheDefinition6.xml" ContentType="application/vnd.openxmlformats-officedocument.spreadsheetml.pivotCacheDefinition+xml"/>
  <Override PartName="/xl/pivotCache/pivotCacheDefinition7.xml" ContentType="application/vnd.openxmlformats-officedocument.spreadsheetml.pivotCacheDefinition+xml"/>
  <Override PartName="/xl/pivotCache/pivotCacheDefinition8.xml" ContentType="application/vnd.openxmlformats-officedocument.spreadsheetml.pivotCacheDefinition+xml"/>
  <Override PartName="/xl/pivotCache/pivotCacheDefinition9.xml" ContentType="application/vnd.openxmlformats-officedocument.spreadsheetml.pivotCacheDefinition+xml"/>
  <Override PartName="/xl/pivotCache/pivotCacheDefinition10.xml" ContentType="application/vnd.openxmlformats-officedocument.spreadsheetml.pivotCacheDefinition+xml"/>
  <Override PartName="/xl/pivotCache/pivotCacheDefinition11.xml" ContentType="application/vnd.openxmlformats-officedocument.spreadsheetml.pivotCacheDefinition+xml"/>
  <Override PartName="/xl/pivotCache/pivotCacheDefinition12.xml" ContentType="application/vnd.openxmlformats-officedocument.spreadsheetml.pivotCacheDefinition+xml"/>
  <Override PartName="/xl/pivotCache/pivotCacheDefinition13.xml" ContentType="application/vnd.openxmlformats-officedocument.spreadsheetml.pivotCacheDefinition+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pivotTables/pivotTable12.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drawings/drawing2.xml" ContentType="application/vnd.openxmlformats-officedocument.drawing+xml"/>
  <Override PartName="/xl/slicers/slicer1.xml" ContentType="application/vnd.ms-excel.slicer+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drawings/drawing3.xml" ContentType="application/vnd.openxmlformats-officedocument.drawing+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drawings/drawing4.xml" ContentType="application/vnd.openxmlformats-officedocument.drawingml.chartshapes+xml"/>
  <Override PartName="/xl/drawings/drawing5.xml" ContentType="application/vnd.openxmlformats-officedocument.drawing+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drawings/drawing6.xml" ContentType="application/vnd.openxmlformats-officedocument.drawingml.chartshapes+xml"/>
  <Override PartName="/xl/drawings/drawing7.xml" ContentType="application/vnd.openxmlformats-officedocument.drawing+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drawings/drawing8.xml" ContentType="application/vnd.openxmlformats-officedocument.drawingml.chartshapes+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customXml/itemProps6.xml" ContentType="application/vnd.openxmlformats-officedocument.customXmlProperties+xml"/>
  <Override PartName="/customXml/itemProps7.xml" ContentType="application/vnd.openxmlformats-officedocument.customXmlProperties+xml"/>
  <Override PartName="/customXml/itemProps8.xml" ContentType="application/vnd.openxmlformats-officedocument.customXmlProperties+xml"/>
  <Override PartName="/customXml/itemProps9.xml" ContentType="application/vnd.openxmlformats-officedocument.customXmlProperties+xml"/>
  <Override PartName="/customXml/itemProps10.xml" ContentType="application/vnd.openxmlformats-officedocument.customXmlProperties+xml"/>
  <Override PartName="/customXml/itemProps11.xml" ContentType="application/vnd.openxmlformats-officedocument.customXmlProperties+xml"/>
  <Override PartName="/customXml/itemProps12.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hidePivotFieldList="1" defaultThemeVersion="166925"/>
  <mc:AlternateContent xmlns:mc="http://schemas.openxmlformats.org/markup-compatibility/2006">
    <mc:Choice Requires="x15">
      <x15ac:absPath xmlns:x15ac="http://schemas.microsoft.com/office/spreadsheetml/2010/11/ac" url="C:\Users\91900\OneDrive\Desktop\Hospital Emergency Room Data Project in Excel\"/>
    </mc:Choice>
  </mc:AlternateContent>
  <xr:revisionPtr revIDLastSave="0" documentId="13_ncr:1_{A9AC951B-CBAB-4349-8DCC-839675F1A455}" xr6:coauthVersionLast="47" xr6:coauthVersionMax="47" xr10:uidLastSave="{00000000-0000-0000-0000-000000000000}"/>
  <bookViews>
    <workbookView xWindow="-108" yWindow="-108" windowWidth="23256" windowHeight="12456" activeTab="1" xr2:uid="{55D3FFBF-18C5-42A9-A8BF-D250BDC87489}"/>
  </bookViews>
  <sheets>
    <sheet name="pivot report" sheetId="1" r:id="rId1"/>
    <sheet name="Dashboard" sheetId="2" r:id="rId2"/>
    <sheet name="daily er no of patient" sheetId="3" r:id="rId3"/>
    <sheet name="avg wait time daily trend" sheetId="5" r:id="rId4"/>
    <sheet name="satisfaction score daily trends" sheetId="6" r:id="rId5"/>
  </sheets>
  <definedNames>
    <definedName name="Slicer_Date__Month">#N/A</definedName>
    <definedName name="Slicer_Date__Year">#N/A</definedName>
  </definedNames>
  <calcPr calcId="191029"/>
  <pivotCaches>
    <pivotCache cacheId="402" r:id="rId6"/>
    <pivotCache cacheId="405" r:id="rId7"/>
    <pivotCache cacheId="408" r:id="rId8"/>
    <pivotCache cacheId="411" r:id="rId9"/>
    <pivotCache cacheId="414" r:id="rId10"/>
    <pivotCache cacheId="417" r:id="rId11"/>
    <pivotCache cacheId="420" r:id="rId12"/>
    <pivotCache cacheId="423" r:id="rId13"/>
    <pivotCache cacheId="426" r:id="rId14"/>
    <pivotCache cacheId="429" r:id="rId15"/>
    <pivotCache cacheId="432" r:id="rId16"/>
    <pivotCache cacheId="435" r:id="rId17"/>
  </pivotCaches>
  <extLst>
    <ext xmlns:x14="http://schemas.microsoft.com/office/spreadsheetml/2009/9/main" uri="{876F7934-8845-4945-9796-88D515C7AA90}">
      <x14:pivotCaches>
        <pivotCache cacheId="12" r:id="rId18"/>
      </x14:pivotCaches>
    </ext>
    <ext xmlns:x14="http://schemas.microsoft.com/office/spreadsheetml/2009/9/main" uri="{BBE1A952-AA13-448e-AADC-164F8A28A991}">
      <x14:slicerCaches>
        <x14:slicerCache r:id="rId19"/>
        <x14:slicerCache r:id="rId20"/>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Hospital Emergency Room Data_7fd37c2f-2d72-4fec-8af6-1af66d33e467" name="Hospital Emergency Room Data" connection="Query - Hospital Emergency Room Data"/>
          <x15:modelTable id="Calendar_table_aa10217d-6eb1-444f-8b2f-9ddc98c90928" name="Calendar_table" connection="Query - Calendar_table"/>
        </x15:modelTables>
        <x15:modelRelationships>
          <x15:modelRelationship fromTable="Hospital Emergency Room Data" fromColumn="Patient Admission Date" toTable="Calendar_table" toColumn="Date"/>
        </x15:modelRelationships>
        <x15:extLst>
          <ext xmlns:x16="http://schemas.microsoft.com/office/spreadsheetml/2014/11/main" uri="{9835A34E-60A6-4A7C-AAB8-D5F71C897F49}">
            <x16:modelTimeGroupings>
              <x16:modelTimeGrouping tableName="Calendar_table" columnName="Date" columnId="Date">
                <x16:calculatedTimeColumn columnName="Date (Year)" columnId="Date (Year)" contentType="years" isSelected="1"/>
                <x16:calculatedTimeColumn columnName="Date (Quarter)" columnId="Date (Quarter)" contentType="quarters" isSelected="1"/>
                <x16:calculatedTimeColumn columnName="Date (Month Index)" columnId="Date (Month Index)" contentType="monthsindex" isSelected="1"/>
                <x16:calculatedTimeColumn columnName="Date (Month)" columnId="Date (Month)" contentType="months" isSelected="1"/>
                <x16:calculatedTimeColumn columnName="Date (Day Index)" columnId="Date (Day Index)" contentType="daysindex" isSelected="0"/>
                <x16:calculatedTimeColumn columnName="Date (Day)" columnId="Date (Day)" contentType="days" isSelected="0"/>
              </x16:modelTimeGrouping>
            </x16:modelTimeGroupings>
          </ext>
        </x15:extLst>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B58" i="1" l="1"/>
  <c r="D59" i="1"/>
  <c r="C59" i="1"/>
  <c r="B59" i="1"/>
  <c r="C58" i="1"/>
  <c r="D58" i="1"/>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58101FDC-CC0C-4A76-BABF-4EDDF8210BED}" name="Query - Calendar_table" description="Connection to the 'Calendar_table' query in the workbook." type="100" refreshedVersion="8" minRefreshableVersion="5">
    <extLst>
      <ext xmlns:x15="http://schemas.microsoft.com/office/spreadsheetml/2010/11/main" uri="{DE250136-89BD-433C-8126-D09CA5730AF9}">
        <x15:connection id="059b58b6-31c8-468f-8f2f-cb0fad4f05c3"/>
      </ext>
    </extLst>
  </connection>
  <connection id="2" xr16:uid="{BECEA17D-8FF2-4CF7-9841-6172E4B5D73E}" name="Query - Hospital Emergency Room Data" description="Connection to the 'Hospital Emergency Room Data' query in the workbook." type="100" refreshedVersion="8" minRefreshableVersion="5">
    <extLst>
      <ext xmlns:x15="http://schemas.microsoft.com/office/spreadsheetml/2010/11/main" uri="{DE250136-89BD-433C-8126-D09CA5730AF9}">
        <x15:connection id="2cabc453-8327-41cb-8ecc-ffc06053bbcc"/>
      </ext>
    </extLst>
  </connection>
  <connection id="3" xr16:uid="{5ACD09EB-78E5-42B0-A9DB-08A8B5774B72}" keepAlive="1" name="ThisWorkbookDataModel" description="Data Model" type="5" refreshedVersion="8"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s>
</file>

<file path=xl/sharedStrings.xml><?xml version="1.0" encoding="utf-8"?>
<sst xmlns="http://schemas.openxmlformats.org/spreadsheetml/2006/main" count="149" uniqueCount="68">
  <si>
    <t>Distinct Count of Patient Id</t>
  </si>
  <si>
    <t>Average of Patient Waittime</t>
  </si>
  <si>
    <t>Average of Patient Satisfaction Score</t>
  </si>
  <si>
    <t>Row Labels</t>
  </si>
  <si>
    <t>Grand Total</t>
  </si>
  <si>
    <t>Admitted</t>
  </si>
  <si>
    <t>Not Admitted</t>
  </si>
  <si>
    <t>Admission Status</t>
  </si>
  <si>
    <t>Count of Patient Admission Flag</t>
  </si>
  <si>
    <t>No of Patient</t>
  </si>
  <si>
    <t>%Status</t>
  </si>
  <si>
    <t>Count of Patient Admission Flag2</t>
  </si>
  <si>
    <t>0-09</t>
  </si>
  <si>
    <t>10-19</t>
  </si>
  <si>
    <t>20-29</t>
  </si>
  <si>
    <t>30-39</t>
  </si>
  <si>
    <t>40-49</t>
  </si>
  <si>
    <t>50-59</t>
  </si>
  <si>
    <t>60-69</t>
  </si>
  <si>
    <t>70-79</t>
  </si>
  <si>
    <t>Count of Age-Group</t>
  </si>
  <si>
    <t>Delay</t>
  </si>
  <si>
    <t>On-Time</t>
  </si>
  <si>
    <t>Count of Patient Attend Status</t>
  </si>
  <si>
    <t>Female</t>
  </si>
  <si>
    <t>Male</t>
  </si>
  <si>
    <t>Count of Patient Gender</t>
  </si>
  <si>
    <t>Cardiology</t>
  </si>
  <si>
    <t>Gastroenterology</t>
  </si>
  <si>
    <t>General Practice</t>
  </si>
  <si>
    <t>Neurology</t>
  </si>
  <si>
    <t>None</t>
  </si>
  <si>
    <t>Orthopedics</t>
  </si>
  <si>
    <t>Physiotherapy</t>
  </si>
  <si>
    <t>Renal</t>
  </si>
  <si>
    <t>Count of Department Referral</t>
  </si>
  <si>
    <t>2024</t>
  </si>
  <si>
    <t>1-Jan</t>
  </si>
  <si>
    <t>2-Jan</t>
  </si>
  <si>
    <t>3-Jan</t>
  </si>
  <si>
    <t>4-Jan</t>
  </si>
  <si>
    <t>5-Jan</t>
  </si>
  <si>
    <t>6-Jan</t>
  </si>
  <si>
    <t>7-Jan</t>
  </si>
  <si>
    <t>8-Jan</t>
  </si>
  <si>
    <t>9-Jan</t>
  </si>
  <si>
    <t>10-Jan</t>
  </si>
  <si>
    <t>11-Jan</t>
  </si>
  <si>
    <t>12-Jan</t>
  </si>
  <si>
    <t>13-Jan</t>
  </si>
  <si>
    <t>14-Jan</t>
  </si>
  <si>
    <t>15-Jan</t>
  </si>
  <si>
    <t>16-Jan</t>
  </si>
  <si>
    <t>17-Jan</t>
  </si>
  <si>
    <t>18-Jan</t>
  </si>
  <si>
    <t>19-Jan</t>
  </si>
  <si>
    <t>20-Jan</t>
  </si>
  <si>
    <t>21-Jan</t>
  </si>
  <si>
    <t>22-Jan</t>
  </si>
  <si>
    <t>23-Jan</t>
  </si>
  <si>
    <t>24-Jan</t>
  </si>
  <si>
    <t>25-Jan</t>
  </si>
  <si>
    <t>26-Jan</t>
  </si>
  <si>
    <t>27-Jan</t>
  </si>
  <si>
    <t>28-Jan</t>
  </si>
  <si>
    <t>29-Jan</t>
  </si>
  <si>
    <t>30-Jan</t>
  </si>
  <si>
    <t>31-Jan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</si>
</sst>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fonts count="2" x14ac:knownFonts="1">
    <font>
      <sz val="11"/>
      <color theme="1"/>
      <name val="Calibri"/>
      <family val="2"/>
      <scheme val="minor"/>
    </font>
    <font>
      <sz val="11"/>
      <color theme="1"/>
      <name val="Calibri"/>
      <family val="2"/>
      <scheme val="minor"/>
    </font>
  </fonts>
  <fills count="5">
    <fill>
      <patternFill patternType="none"/>
    </fill>
    <fill>
      <patternFill patternType="gray125"/>
    </fill>
    <fill>
      <patternFill patternType="solid">
        <fgColor theme="1" tint="0.34998626667073579"/>
        <bgColor indexed="64"/>
      </patternFill>
    </fill>
    <fill>
      <patternFill patternType="solid">
        <fgColor theme="0" tint="-0.14999847407452621"/>
        <bgColor indexed="64"/>
      </patternFill>
    </fill>
    <fill>
      <patternFill patternType="solid">
        <fgColor theme="4" tint="0.39997558519241921"/>
        <bgColor indexed="64"/>
      </patternFill>
    </fill>
  </fills>
  <borders count="1">
    <border>
      <left/>
      <right/>
      <top/>
      <bottom/>
      <diagonal/>
    </border>
  </borders>
  <cellStyleXfs count="2">
    <xf numFmtId="0" fontId="0" fillId="0" borderId="0"/>
    <xf numFmtId="9" fontId="1" fillId="0" borderId="0" applyFont="0" applyFill="0" applyBorder="0" applyAlignment="0" applyProtection="0"/>
  </cellStyleXfs>
  <cellXfs count="13">
    <xf numFmtId="0" fontId="0" fillId="0" borderId="0" xfId="0"/>
    <xf numFmtId="0" fontId="0" fillId="0" borderId="0" xfId="0" pivotButton="1"/>
    <xf numFmtId="2" fontId="0" fillId="0" borderId="0" xfId="0" applyNumberFormat="1"/>
    <xf numFmtId="0" fontId="0" fillId="2" borderId="0" xfId="0" applyFill="1"/>
    <xf numFmtId="0" fontId="0" fillId="0" borderId="0" xfId="0" applyAlignment="1">
      <alignment horizontal="left"/>
    </xf>
    <xf numFmtId="0" fontId="0" fillId="3" borderId="0" xfId="0" applyFill="1"/>
    <xf numFmtId="10" fontId="0" fillId="0" borderId="0" xfId="0" applyNumberFormat="1"/>
    <xf numFmtId="0" fontId="0" fillId="4" borderId="0" xfId="0" applyFill="1"/>
    <xf numFmtId="0" fontId="0" fillId="4" borderId="0" xfId="0" applyFill="1" applyAlignment="1">
      <alignment horizontal="center" vertical="center"/>
    </xf>
    <xf numFmtId="0" fontId="0" fillId="0" borderId="0" xfId="0" applyAlignment="1">
      <alignment horizontal="center" vertical="center"/>
    </xf>
    <xf numFmtId="10" fontId="0" fillId="0" borderId="0" xfId="1" applyNumberFormat="1" applyFont="1" applyAlignment="1">
      <alignment horizontal="center" vertical="center"/>
    </xf>
    <xf numFmtId="1" fontId="0" fillId="0" borderId="0" xfId="0" applyNumberFormat="1"/>
    <xf numFmtId="0" fontId="0" fillId="0" borderId="0" xfId="0" applyNumberFormat="1"/>
  </cellXfs>
  <cellStyles count="2">
    <cellStyle name="Normal" xfId="0" builtinId="0"/>
    <cellStyle name="Percent" xfId="1" builtinId="5"/>
  </cellStyles>
  <dxfs count="168">
    <dxf>
      <numFmt numFmtId="1" formatCode="0"/>
    </dxf>
    <dxf>
      <numFmt numFmtId="1" formatCode="0"/>
    </dxf>
    <dxf>
      <numFmt numFmtId="1" formatCode="0"/>
    </dxf>
    <dxf>
      <numFmt numFmtId="1" formatCode="0"/>
    </dxf>
    <dxf>
      <numFmt numFmtId="1" formatCode="0"/>
    </dxf>
    <dxf>
      <numFmt numFmtId="2" formatCode="0.00"/>
    </dxf>
    <dxf>
      <numFmt numFmtId="14" formatCode="0.00%"/>
    </dxf>
    <dxf>
      <numFmt numFmtId="2" formatCode="0.00"/>
    </dxf>
    <dxf>
      <numFmt numFmtId="2" formatCode="0.00"/>
    </dxf>
    <dxf>
      <numFmt numFmtId="2" formatCode="0.00"/>
    </dxf>
    <dxf>
      <numFmt numFmtId="2" formatCode="0.00"/>
    </dxf>
    <dxf>
      <numFmt numFmtId="2" formatCode="0.00"/>
    </dxf>
    <dxf>
      <numFmt numFmtId="2" formatCode="0.00"/>
    </dxf>
    <dxf>
      <numFmt numFmtId="1" formatCode="0"/>
    </dxf>
    <dxf>
      <numFmt numFmtId="1" formatCode="0"/>
    </dxf>
    <dxf>
      <numFmt numFmtId="1" formatCode="0"/>
    </dxf>
    <dxf>
      <numFmt numFmtId="1" formatCode="0"/>
    </dxf>
    <dxf>
      <numFmt numFmtId="1" formatCode="0"/>
    </dxf>
    <dxf>
      <numFmt numFmtId="2" formatCode="0.00"/>
    </dxf>
    <dxf>
      <numFmt numFmtId="14" formatCode="0.00%"/>
    </dxf>
    <dxf>
      <numFmt numFmtId="2" formatCode="0.00"/>
    </dxf>
    <dxf>
      <numFmt numFmtId="2" formatCode="0.00"/>
    </dxf>
    <dxf>
      <numFmt numFmtId="2" formatCode="0.00"/>
    </dxf>
    <dxf>
      <numFmt numFmtId="2" formatCode="0.00"/>
    </dxf>
    <dxf>
      <numFmt numFmtId="2" formatCode="0.00"/>
    </dxf>
    <dxf>
      <numFmt numFmtId="2" formatCode="0.00"/>
    </dxf>
    <dxf>
      <numFmt numFmtId="1" formatCode="0"/>
    </dxf>
    <dxf>
      <numFmt numFmtId="1" formatCode="0"/>
    </dxf>
    <dxf>
      <numFmt numFmtId="1" formatCode="0"/>
    </dxf>
    <dxf>
      <numFmt numFmtId="1" formatCode="0"/>
    </dxf>
    <dxf>
      <numFmt numFmtId="1" formatCode="0"/>
    </dxf>
    <dxf>
      <numFmt numFmtId="2" formatCode="0.00"/>
    </dxf>
    <dxf>
      <numFmt numFmtId="14" formatCode="0.00%"/>
    </dxf>
    <dxf>
      <numFmt numFmtId="2" formatCode="0.00"/>
    </dxf>
    <dxf>
      <numFmt numFmtId="2" formatCode="0.00"/>
    </dxf>
    <dxf>
      <numFmt numFmtId="2" formatCode="0.00"/>
    </dxf>
    <dxf>
      <numFmt numFmtId="2" formatCode="0.00"/>
    </dxf>
    <dxf>
      <numFmt numFmtId="2" formatCode="0.00"/>
    </dxf>
    <dxf>
      <numFmt numFmtId="2" formatCode="0.00"/>
    </dxf>
    <dxf>
      <numFmt numFmtId="1" formatCode="0"/>
    </dxf>
    <dxf>
      <numFmt numFmtId="1" formatCode="0"/>
    </dxf>
    <dxf>
      <numFmt numFmtId="1" formatCode="0"/>
    </dxf>
    <dxf>
      <numFmt numFmtId="1" formatCode="0"/>
    </dxf>
    <dxf>
      <numFmt numFmtId="1" formatCode="0"/>
    </dxf>
    <dxf>
      <numFmt numFmtId="2" formatCode="0.00"/>
    </dxf>
    <dxf>
      <numFmt numFmtId="14" formatCode="0.00%"/>
    </dxf>
    <dxf>
      <numFmt numFmtId="2" formatCode="0.00"/>
    </dxf>
    <dxf>
      <numFmt numFmtId="2" formatCode="0.00"/>
    </dxf>
    <dxf>
      <numFmt numFmtId="2" formatCode="0.00"/>
    </dxf>
    <dxf>
      <numFmt numFmtId="2" formatCode="0.00"/>
    </dxf>
    <dxf>
      <numFmt numFmtId="2" formatCode="0.00"/>
    </dxf>
    <dxf>
      <numFmt numFmtId="2" formatCode="0.00"/>
    </dxf>
    <dxf>
      <numFmt numFmtId="1" formatCode="0"/>
    </dxf>
    <dxf>
      <numFmt numFmtId="1" formatCode="0"/>
    </dxf>
    <dxf>
      <numFmt numFmtId="1" formatCode="0"/>
    </dxf>
    <dxf>
      <numFmt numFmtId="1" formatCode="0"/>
    </dxf>
    <dxf>
      <numFmt numFmtId="1" formatCode="0"/>
    </dxf>
    <dxf>
      <numFmt numFmtId="2" formatCode="0.00"/>
    </dxf>
    <dxf>
      <numFmt numFmtId="14" formatCode="0.00%"/>
    </dxf>
    <dxf>
      <numFmt numFmtId="2" formatCode="0.00"/>
    </dxf>
    <dxf>
      <numFmt numFmtId="2" formatCode="0.00"/>
    </dxf>
    <dxf>
      <numFmt numFmtId="2" formatCode="0.00"/>
    </dxf>
    <dxf>
      <numFmt numFmtId="2" formatCode="0.00"/>
    </dxf>
    <dxf>
      <numFmt numFmtId="2" formatCode="0.00"/>
    </dxf>
    <dxf>
      <numFmt numFmtId="2" formatCode="0.00"/>
    </dxf>
    <dxf>
      <numFmt numFmtId="1" formatCode="0"/>
    </dxf>
    <dxf>
      <numFmt numFmtId="1" formatCode="0"/>
    </dxf>
    <dxf>
      <numFmt numFmtId="1" formatCode="0"/>
    </dxf>
    <dxf>
      <numFmt numFmtId="1" formatCode="0"/>
    </dxf>
    <dxf>
      <numFmt numFmtId="1" formatCode="0"/>
    </dxf>
    <dxf>
      <numFmt numFmtId="2" formatCode="0.00"/>
    </dxf>
    <dxf>
      <numFmt numFmtId="14" formatCode="0.00%"/>
    </dxf>
    <dxf>
      <numFmt numFmtId="2" formatCode="0.00"/>
    </dxf>
    <dxf>
      <numFmt numFmtId="2" formatCode="0.00"/>
    </dxf>
    <dxf>
      <numFmt numFmtId="2" formatCode="0.00"/>
    </dxf>
    <dxf>
      <numFmt numFmtId="2" formatCode="0.00"/>
    </dxf>
    <dxf>
      <numFmt numFmtId="2" formatCode="0.00"/>
    </dxf>
    <dxf>
      <numFmt numFmtId="2" formatCode="0.00"/>
    </dxf>
    <dxf>
      <numFmt numFmtId="1" formatCode="0"/>
    </dxf>
    <dxf>
      <numFmt numFmtId="1" formatCode="0"/>
    </dxf>
    <dxf>
      <numFmt numFmtId="2" formatCode="0.00"/>
    </dxf>
    <dxf>
      <numFmt numFmtId="14" formatCode="0.00%"/>
    </dxf>
    <dxf>
      <numFmt numFmtId="2" formatCode="0.00"/>
    </dxf>
    <dxf>
      <numFmt numFmtId="2" formatCode="0.00"/>
    </dxf>
    <dxf>
      <numFmt numFmtId="2" formatCode="0.00"/>
    </dxf>
    <dxf>
      <numFmt numFmtId="2" formatCode="0.00"/>
    </dxf>
    <dxf>
      <numFmt numFmtId="2" formatCode="0.0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2" formatCode="0.00"/>
    </dxf>
    <dxf>
      <numFmt numFmtId="14" formatCode="0.00%"/>
    </dxf>
    <dxf>
      <numFmt numFmtId="2" formatCode="0.00"/>
    </dxf>
    <dxf>
      <numFmt numFmtId="2" formatCode="0.00"/>
    </dxf>
    <dxf>
      <numFmt numFmtId="2" formatCode="0.00"/>
    </dxf>
    <dxf>
      <numFmt numFmtId="2" formatCode="0.00"/>
    </dxf>
    <dxf>
      <numFmt numFmtId="2" formatCode="0.00"/>
    </dxf>
    <dxf>
      <numFmt numFmtId="2" formatCode="0.00"/>
    </dxf>
    <dxf>
      <numFmt numFmtId="1" formatCode="0"/>
    </dxf>
    <dxf>
      <numFmt numFmtId="1" formatCode="0"/>
    </dxf>
    <dxf>
      <numFmt numFmtId="1" formatCode="0"/>
    </dxf>
    <dxf>
      <numFmt numFmtId="1" formatCode="0"/>
    </dxf>
    <dxf>
      <numFmt numFmtId="1" formatCode="0"/>
    </dxf>
    <dxf>
      <numFmt numFmtId="2" formatCode="0.00"/>
    </dxf>
    <dxf>
      <numFmt numFmtId="14" formatCode="0.00%"/>
    </dxf>
    <dxf>
      <numFmt numFmtId="2" formatCode="0.00"/>
    </dxf>
    <dxf>
      <numFmt numFmtId="2" formatCode="0.00"/>
    </dxf>
    <dxf>
      <numFmt numFmtId="2" formatCode="0.00"/>
    </dxf>
    <dxf>
      <numFmt numFmtId="2" formatCode="0.00"/>
    </dxf>
    <dxf>
      <numFmt numFmtId="2" formatCode="0.00"/>
    </dxf>
    <dxf>
      <numFmt numFmtId="2" formatCode="0.00"/>
    </dxf>
    <dxf>
      <numFmt numFmtId="1" formatCode="0"/>
    </dxf>
    <dxf>
      <numFmt numFmtId="1" formatCode="0"/>
    </dxf>
    <dxf>
      <numFmt numFmtId="1" formatCode="0"/>
    </dxf>
    <dxf>
      <numFmt numFmtId="1" formatCode="0"/>
    </dxf>
    <dxf>
      <numFmt numFmtId="1" formatCode="0"/>
    </dxf>
    <dxf>
      <numFmt numFmtId="2" formatCode="0.00"/>
    </dxf>
    <dxf>
      <numFmt numFmtId="14" formatCode="0.00%"/>
    </dxf>
    <dxf>
      <numFmt numFmtId="2" formatCode="0.00"/>
    </dxf>
    <dxf>
      <numFmt numFmtId="2" formatCode="0.00"/>
    </dxf>
    <dxf>
      <numFmt numFmtId="2" formatCode="0.00"/>
    </dxf>
    <dxf>
      <numFmt numFmtId="2" formatCode="0.00"/>
    </dxf>
    <dxf>
      <numFmt numFmtId="2" formatCode="0.00"/>
    </dxf>
    <dxf>
      <numFmt numFmtId="2" formatCode="0.00"/>
    </dxf>
    <dxf>
      <numFmt numFmtId="1" formatCode="0"/>
    </dxf>
    <dxf>
      <numFmt numFmtId="1" formatCode="0"/>
    </dxf>
    <dxf>
      <numFmt numFmtId="2" formatCode="0.00"/>
    </dxf>
    <dxf>
      <numFmt numFmtId="14" formatCode="0.00%"/>
    </dxf>
    <dxf>
      <numFmt numFmtId="2" formatCode="0.00"/>
    </dxf>
    <dxf>
      <numFmt numFmtId="2" formatCode="0.00"/>
    </dxf>
    <dxf>
      <numFmt numFmtId="2" formatCode="0.00"/>
    </dxf>
    <dxf>
      <numFmt numFmtId="2" formatCode="0.00"/>
    </dxf>
    <dxf>
      <numFmt numFmtId="2" formatCode="0.00"/>
    </dxf>
    <dxf>
      <numFmt numFmtId="1" formatCode="0"/>
    </dxf>
    <dxf>
      <numFmt numFmtId="1" formatCode="0"/>
    </dxf>
    <dxf>
      <numFmt numFmtId="1" formatCode="0"/>
    </dxf>
    <dxf>
      <numFmt numFmtId="1" formatCode="0"/>
    </dxf>
    <dxf>
      <numFmt numFmtId="1" formatCode="0"/>
    </dxf>
    <dxf>
      <numFmt numFmtId="2" formatCode="0.00"/>
    </dxf>
    <dxf>
      <numFmt numFmtId="14" formatCode="0.00%"/>
    </dxf>
    <dxf>
      <numFmt numFmtId="2" formatCode="0.00"/>
    </dxf>
    <dxf>
      <numFmt numFmtId="2" formatCode="0.00"/>
    </dxf>
    <dxf>
      <numFmt numFmtId="2" formatCode="0.00"/>
    </dxf>
    <dxf>
      <numFmt numFmtId="2" formatCode="0.00"/>
    </dxf>
    <dxf>
      <numFmt numFmtId="2" formatCode="0.00"/>
    </dxf>
    <dxf>
      <numFmt numFmtId="1" formatCode="0"/>
    </dxf>
    <dxf>
      <numFmt numFmtId="1" formatCode="0"/>
    </dxf>
    <dxf>
      <numFmt numFmtId="1" formatCode="0"/>
    </dxf>
    <dxf>
      <numFmt numFmtId="1" formatCode="0"/>
    </dxf>
    <dxf>
      <numFmt numFmtId="1" formatCode="0"/>
    </dxf>
    <dxf>
      <numFmt numFmtId="14" formatCode="0.00%"/>
    </dxf>
    <dxf>
      <numFmt numFmtId="2" formatCode="0.00"/>
    </dxf>
    <dxf>
      <numFmt numFmtId="2" formatCode="0.00"/>
    </dxf>
    <dxf>
      <numFmt numFmtId="2" formatCode="0.00"/>
    </dxf>
    <dxf>
      <numFmt numFmtId="2" formatCode="0.00"/>
    </dxf>
    <dxf>
      <numFmt numFmtId="2" formatCode="0.00"/>
    </dxf>
    <dxf>
      <numFmt numFmtId="1" formatCode="0"/>
    </dxf>
    <dxf>
      <numFmt numFmtId="2" formatCode="0.00"/>
    </dxf>
    <dxf>
      <numFmt numFmtId="2" formatCode="0.00"/>
    </dxf>
    <dxf>
      <numFmt numFmtId="1" formatCode="0"/>
    </dxf>
    <dxf>
      <numFmt numFmtId="1" formatCode="0"/>
    </dxf>
    <dxf>
      <font>
        <b/>
        <color theme="1"/>
      </font>
      <fill>
        <patternFill>
          <bgColor theme="0" tint="-0.34998626667073579"/>
        </patternFill>
      </fill>
      <border>
        <bottom style="thin">
          <color theme="5"/>
        </bottom>
        <vertical/>
        <horizontal/>
      </border>
    </dxf>
    <dxf>
      <font>
        <sz val="7"/>
        <color theme="1"/>
      </font>
      <fill>
        <patternFill>
          <bgColor theme="0"/>
        </patternFill>
      </fill>
      <border diagonalUp="0" diagonalDown="0">
        <left/>
        <right/>
        <top/>
        <bottom/>
        <vertical/>
        <horizontal/>
      </border>
    </dxf>
  </dxfs>
  <tableStyles count="1" defaultTableStyle="TableStyleMedium2" defaultPivotStyle="PivotStyleLight16">
    <tableStyle name=" my" pivot="0" table="0" count="10" xr9:uid="{C41087D6-1340-46B3-A49D-72FB526B0954}">
      <tableStyleElement type="wholeTable" dxfId="167"/>
      <tableStyleElement type="headerRow" dxfId="166"/>
    </tableStyle>
  </tableStyles>
  <extLst>
    <ext xmlns:x14="http://schemas.microsoft.com/office/spreadsheetml/2009/9/main" uri="{46F421CA-312F-682f-3DD2-61675219B42D}">
      <x14:dxfs count="8">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828282"/>
          </font>
          <fill>
            <patternFill patternType="solid">
              <fgColor theme="5" tint="0.79998168889431442"/>
              <bgColor theme="5" tint="0.79998168889431442"/>
            </patternFill>
          </fill>
          <border>
            <left style="thin">
              <color rgb="FFCCCCCC"/>
            </left>
            <right style="thin">
              <color rgb="FFCCCCCC"/>
            </right>
            <top style="thin">
              <color rgb="FFCCCCCC"/>
            </top>
            <bottom style="thin">
              <color rgb="FFCCCCCC"/>
            </bottom>
            <vertical/>
            <horizontal/>
          </border>
        </dxf>
        <dxf>
          <font>
            <color rgb="FF000000"/>
          </font>
          <fill>
            <patternFill patternType="solid">
              <fgColor theme="5" tint="0.59999389629810485"/>
              <bgColor theme="5" tint="0.59999389629810485"/>
            </patternFill>
          </fill>
          <border>
            <left style="thin">
              <color rgb="FF999999"/>
            </left>
            <right style="thin">
              <color rgb="FF999999"/>
            </right>
            <top style="thin">
              <color rgb="FF999999"/>
            </top>
            <bottom style="thin">
              <color rgb="FF999999"/>
            </bottom>
            <vertical/>
            <horizontal/>
          </border>
        </dxf>
        <dxf>
          <font>
            <color rgb="FF828282"/>
          </font>
          <fill>
            <patternFill patternType="solid">
              <fgColor rgb="FFFFFFFF"/>
              <bgColor rgb="FFFFFFFF"/>
            </patternFill>
          </fill>
          <border>
            <left style="thin">
              <color rgb="FFE0E0E0"/>
            </left>
            <right style="thin">
              <color rgb="FFE0E0E0"/>
            </right>
            <top style="thin">
              <color rgb="FFE0E0E0"/>
            </top>
            <bottom style="thin">
              <color rgb="FFE0E0E0"/>
            </bottom>
            <vertical/>
            <horizontal/>
          </border>
        </dxf>
        <dxf>
          <font>
            <color rgb="FF000000"/>
          </font>
          <fill>
            <patternFill patternType="solid">
              <fgColor rgb="FFFFFFFF"/>
              <bgColor rgb="FFFFFFFF"/>
            </patternFill>
          </fill>
          <border>
            <left style="thin">
              <color rgb="FFCCCCCC"/>
            </left>
            <right style="thin">
              <color rgb="FFCCCCCC"/>
            </right>
            <top style="thin">
              <color rgb="FFCCCCCC"/>
            </top>
            <bottom style="thin">
              <color rgb="FFCCCCCC"/>
            </bottom>
            <vertical/>
            <horizontal/>
          </border>
        </dxf>
      </x14:dxfs>
    </ext>
    <ext xmlns:x14="http://schemas.microsoft.com/office/spreadsheetml/2009/9/main" uri="{EB79DEF2-80B8-43e5-95BD-54CBDDF9020C}">
      <x14:slicerStyles defaultSlicerStyle="SlicerStyleLight1">
        <x14:slicerStyle name=" my">
          <x14:slicerStyleElements>
            <x14:slicerStyleElement type="unselectedItemWithData" dxfId="7"/>
            <x14:slicerStyleElement type="unselectedItemWithNoData" dxfId="6"/>
            <x14:slicerStyleElement type="selectedItemWithData" dxfId="5"/>
            <x14:slicerStyleElement type="selectedItemWithNoData" dxfId="4"/>
            <x14:slicerStyleElement type="hoveredUnselectedItemWithData" dxfId="3"/>
            <x14:slicerStyleElement type="hoveredSelectedItemWithData" dxfId="2"/>
            <x14:slicerStyleElement type="hoveredUnselectedItemWithNoData" dxfId="1"/>
            <x14:slicerStyleElement type="hoveredSelectedItemWithNoData" dxfId="0"/>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pivotCacheDefinition" Target="pivotCache/pivotCacheDefinition8.xml"/><Relationship Id="rId18" Type="http://schemas.openxmlformats.org/officeDocument/2006/relationships/pivotCacheDefinition" Target="pivotCache/pivotCacheDefinition13.xml"/><Relationship Id="rId26" Type="http://schemas.openxmlformats.org/officeDocument/2006/relationships/calcChain" Target="calcChain.xml"/><Relationship Id="rId21" Type="http://schemas.openxmlformats.org/officeDocument/2006/relationships/theme" Target="theme/theme1.xml"/><Relationship Id="rId34" Type="http://schemas.openxmlformats.org/officeDocument/2006/relationships/customXml" Target="../customXml/item8.xml"/><Relationship Id="rId7" Type="http://schemas.openxmlformats.org/officeDocument/2006/relationships/pivotCacheDefinition" Target="pivotCache/pivotCacheDefinition2.xml"/><Relationship Id="rId12" Type="http://schemas.openxmlformats.org/officeDocument/2006/relationships/pivotCacheDefinition" Target="pivotCache/pivotCacheDefinition7.xml"/><Relationship Id="rId17" Type="http://schemas.openxmlformats.org/officeDocument/2006/relationships/pivotCacheDefinition" Target="pivotCache/pivotCacheDefinition12.xml"/><Relationship Id="rId25" Type="http://schemas.openxmlformats.org/officeDocument/2006/relationships/powerPivotData" Target="model/item.data"/><Relationship Id="rId33" Type="http://schemas.openxmlformats.org/officeDocument/2006/relationships/customXml" Target="../customXml/item7.xml"/><Relationship Id="rId38" Type="http://schemas.openxmlformats.org/officeDocument/2006/relationships/customXml" Target="../customXml/item12.xml"/><Relationship Id="rId2" Type="http://schemas.openxmlformats.org/officeDocument/2006/relationships/worksheet" Target="worksheets/sheet2.xml"/><Relationship Id="rId16" Type="http://schemas.openxmlformats.org/officeDocument/2006/relationships/pivotCacheDefinition" Target="pivotCache/pivotCacheDefinition11.xml"/><Relationship Id="rId20" Type="http://schemas.microsoft.com/office/2007/relationships/slicerCache" Target="slicerCaches/slicerCache2.xml"/><Relationship Id="rId29" Type="http://schemas.openxmlformats.org/officeDocument/2006/relationships/customXml" Target="../customXml/item3.xml"/><Relationship Id="rId1" Type="http://schemas.openxmlformats.org/officeDocument/2006/relationships/worksheet" Target="worksheets/sheet1.xml"/><Relationship Id="rId6" Type="http://schemas.openxmlformats.org/officeDocument/2006/relationships/pivotCacheDefinition" Target="pivotCache/pivotCacheDefinition1.xml"/><Relationship Id="rId11" Type="http://schemas.openxmlformats.org/officeDocument/2006/relationships/pivotCacheDefinition" Target="pivotCache/pivotCacheDefinition6.xml"/><Relationship Id="rId24" Type="http://schemas.openxmlformats.org/officeDocument/2006/relationships/sharedStrings" Target="sharedStrings.xml"/><Relationship Id="rId32" Type="http://schemas.openxmlformats.org/officeDocument/2006/relationships/customXml" Target="../customXml/item6.xml"/><Relationship Id="rId37" Type="http://schemas.openxmlformats.org/officeDocument/2006/relationships/customXml" Target="../customXml/item11.xml"/><Relationship Id="rId5" Type="http://schemas.openxmlformats.org/officeDocument/2006/relationships/worksheet" Target="worksheets/sheet5.xml"/><Relationship Id="rId15" Type="http://schemas.openxmlformats.org/officeDocument/2006/relationships/pivotCacheDefinition" Target="pivotCache/pivotCacheDefinition10.xml"/><Relationship Id="rId23" Type="http://schemas.openxmlformats.org/officeDocument/2006/relationships/styles" Target="styles.xml"/><Relationship Id="rId28" Type="http://schemas.openxmlformats.org/officeDocument/2006/relationships/customXml" Target="../customXml/item2.xml"/><Relationship Id="rId36" Type="http://schemas.openxmlformats.org/officeDocument/2006/relationships/customXml" Target="../customXml/item10.xml"/><Relationship Id="rId10" Type="http://schemas.openxmlformats.org/officeDocument/2006/relationships/pivotCacheDefinition" Target="pivotCache/pivotCacheDefinition5.xml"/><Relationship Id="rId19" Type="http://schemas.microsoft.com/office/2007/relationships/slicerCache" Target="slicerCaches/slicerCache1.xml"/><Relationship Id="rId31" Type="http://schemas.openxmlformats.org/officeDocument/2006/relationships/customXml" Target="../customXml/item5.xml"/><Relationship Id="rId4" Type="http://schemas.openxmlformats.org/officeDocument/2006/relationships/worksheet" Target="worksheets/sheet4.xml"/><Relationship Id="rId9" Type="http://schemas.openxmlformats.org/officeDocument/2006/relationships/pivotCacheDefinition" Target="pivotCache/pivotCacheDefinition4.xml"/><Relationship Id="rId14" Type="http://schemas.openxmlformats.org/officeDocument/2006/relationships/pivotCacheDefinition" Target="pivotCache/pivotCacheDefinition9.xml"/><Relationship Id="rId22" Type="http://schemas.openxmlformats.org/officeDocument/2006/relationships/connections" Target="connections.xml"/><Relationship Id="rId27" Type="http://schemas.openxmlformats.org/officeDocument/2006/relationships/customXml" Target="../customXml/item1.xml"/><Relationship Id="rId30" Type="http://schemas.openxmlformats.org/officeDocument/2006/relationships/customXml" Target="../customXml/item4.xml"/><Relationship Id="rId35" Type="http://schemas.openxmlformats.org/officeDocument/2006/relationships/customXml" Target="../customXml/item9.xml"/><Relationship Id="rId8" Type="http://schemas.openxmlformats.org/officeDocument/2006/relationships/pivotCacheDefinition" Target="pivotCache/pivotCacheDefinition3.xml"/><Relationship Id="rId3" Type="http://schemas.openxmlformats.org/officeDocument/2006/relationships/worksheet" Target="worksheets/sheet3.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3" Type="http://schemas.openxmlformats.org/officeDocument/2006/relationships/chartUserShapes" Target="../drawings/drawing4.xml"/><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3" Type="http://schemas.openxmlformats.org/officeDocument/2006/relationships/chartUserShapes" Target="../drawings/drawing6.xml"/><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3" Type="http://schemas.openxmlformats.org/officeDocument/2006/relationships/chartUserShapes" Target="../drawings/drawing8.xml"/><Relationship Id="rId2" Type="http://schemas.microsoft.com/office/2011/relationships/chartColorStyle" Target="colors11.xml"/><Relationship Id="rId1" Type="http://schemas.microsoft.com/office/2011/relationships/chartStyle" Target="style1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[Book1.xlsx]pivot report!PivotTable7</c:name>
    <c:fmtId val="0"/>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5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dLbl>
          <c:idx val="0"/>
          <c:layout>
            <c:manualLayout>
              <c:x val="0.57736031550913414"/>
              <c:y val="0.14634317328083285"/>
            </c:manualLayout>
          </c:layout>
          <c:spPr>
            <a:noFill/>
            <a:ln>
              <a:noFill/>
            </a:ln>
            <a:effectLst/>
          </c:spPr>
          <c:txPr>
            <a:bodyPr rot="0" spcFirstLastPara="1" vertOverflow="ellipsis" vert="horz" wrap="square" lIns="38100" tIns="19050" rIns="38100" bIns="19050" anchor="ctr" anchorCtr="1">
              <a:spAutoFit/>
            </a:bodyPr>
            <a:lstStyle/>
            <a:p>
              <a:pPr>
                <a:defRPr sz="4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dLbl>
          <c:idx val="0"/>
          <c:layout>
            <c:manualLayout>
              <c:x val="0.59987598017367827"/>
              <c:y val="0.20152418897840196"/>
            </c:manualLayout>
          </c:layout>
          <c:spPr>
            <a:noFill/>
            <a:ln>
              <a:noFill/>
            </a:ln>
            <a:effectLst/>
          </c:spPr>
          <c:txPr>
            <a:bodyPr rot="0" spcFirstLastPara="1" vertOverflow="ellipsis" vert="horz" wrap="square" lIns="38100" tIns="19050" rIns="38100" bIns="19050" anchor="ctr" anchorCtr="1">
              <a:spAutoFit/>
            </a:bodyPr>
            <a:lstStyle/>
            <a:p>
              <a:pPr>
                <a:defRPr sz="4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2.0878261332503364E-2"/>
          <c:y val="9.3472685528674842E-4"/>
          <c:w val="0.96453518012142725"/>
          <c:h val="0.94880909956593618"/>
        </c:manualLayout>
      </c:layout>
      <c:barChart>
        <c:barDir val="bar"/>
        <c:grouping val="clustered"/>
        <c:varyColors val="0"/>
        <c:ser>
          <c:idx val="0"/>
          <c:order val="0"/>
          <c:tx>
            <c:strRef>
              <c:f>'pivot report'!$C$50</c:f>
              <c:strCache>
                <c:ptCount val="1"/>
                <c:pt idx="0">
                  <c:v>Count of Patient Admission Flag</c:v>
                </c:pt>
              </c:strCache>
            </c:strRef>
          </c:tx>
          <c:spPr>
            <a:solidFill>
              <a:schemeClr val="accent1"/>
            </a:solidFill>
            <a:ln>
              <a:noFill/>
            </a:ln>
            <a:effectLst/>
          </c:spPr>
          <c:invertIfNegative val="0"/>
          <c:cat>
            <c:strRef>
              <c:f>'pivot report'!$B$51:$B$53</c:f>
              <c:strCache>
                <c:ptCount val="2"/>
                <c:pt idx="0">
                  <c:v>Admitted</c:v>
                </c:pt>
                <c:pt idx="1">
                  <c:v>Not Admitted</c:v>
                </c:pt>
              </c:strCache>
            </c:strRef>
          </c:cat>
          <c:val>
            <c:numRef>
              <c:f>'pivot report'!$C$51:$C$53</c:f>
              <c:numCache>
                <c:formatCode>0.00</c:formatCode>
                <c:ptCount val="2"/>
                <c:pt idx="0">
                  <c:v>269</c:v>
                </c:pt>
                <c:pt idx="1">
                  <c:v>244</c:v>
                </c:pt>
              </c:numCache>
            </c:numRef>
          </c:val>
          <c:extLst>
            <c:ext xmlns:c16="http://schemas.microsoft.com/office/drawing/2014/chart" uri="{C3380CC4-5D6E-409C-BE32-E72D297353CC}">
              <c16:uniqueId val="{00000005-1162-4038-A7D3-169729C44C88}"/>
            </c:ext>
          </c:extLst>
        </c:ser>
        <c:ser>
          <c:idx val="1"/>
          <c:order val="1"/>
          <c:tx>
            <c:strRef>
              <c:f>'pivot report'!$D$50</c:f>
              <c:strCache>
                <c:ptCount val="1"/>
                <c:pt idx="0">
                  <c:v>Count of Patient Admission Flag2</c:v>
                </c:pt>
              </c:strCache>
            </c:strRef>
          </c:tx>
          <c:spPr>
            <a:solidFill>
              <a:schemeClr val="accent2"/>
            </a:solidFill>
            <a:ln>
              <a:noFill/>
            </a:ln>
            <a:effectLst/>
          </c:spPr>
          <c:invertIfNegative val="0"/>
          <c:dPt>
            <c:idx val="0"/>
            <c:invertIfNegative val="0"/>
            <c:bubble3D val="0"/>
            <c:extLst>
              <c:ext xmlns:c16="http://schemas.microsoft.com/office/drawing/2014/chart" uri="{C3380CC4-5D6E-409C-BE32-E72D297353CC}">
                <c16:uniqueId val="{00000000-17A5-4262-9545-6BC1751056CC}"/>
              </c:ext>
            </c:extLst>
          </c:dPt>
          <c:dPt>
            <c:idx val="1"/>
            <c:invertIfNegative val="0"/>
            <c:bubble3D val="0"/>
            <c:extLst>
              <c:ext xmlns:c16="http://schemas.microsoft.com/office/drawing/2014/chart" uri="{C3380CC4-5D6E-409C-BE32-E72D297353CC}">
                <c16:uniqueId val="{00000001-17A5-4262-9545-6BC1751056CC}"/>
              </c:ext>
            </c:extLst>
          </c:dPt>
          <c:dLbls>
            <c:dLbl>
              <c:idx val="0"/>
              <c:layout>
                <c:manualLayout>
                  <c:x val="0.59987598017367827"/>
                  <c:y val="0.20152418897840196"/>
                </c:manualLayout>
              </c:layout>
              <c:spPr>
                <a:noFill/>
                <a:ln>
                  <a:noFill/>
                </a:ln>
                <a:effectLst/>
              </c:spPr>
              <c:txPr>
                <a:bodyPr rot="0" spcFirstLastPara="1" vertOverflow="ellipsis" vert="horz" wrap="square" lIns="38100" tIns="19050" rIns="38100" bIns="19050" anchor="ctr" anchorCtr="1">
                  <a:spAutoFit/>
                </a:bodyPr>
                <a:lstStyle/>
                <a:p>
                  <a:pPr>
                    <a:defRPr sz="4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17A5-4262-9545-6BC1751056CC}"/>
                </c:ext>
              </c:extLst>
            </c:dLbl>
            <c:dLbl>
              <c:idx val="1"/>
              <c:layout>
                <c:manualLayout>
                  <c:x val="0.57736031550913414"/>
                  <c:y val="0.14634317328083285"/>
                </c:manualLayout>
              </c:layout>
              <c:spPr>
                <a:noFill/>
                <a:ln>
                  <a:noFill/>
                </a:ln>
                <a:effectLst/>
              </c:spPr>
              <c:txPr>
                <a:bodyPr rot="0" spcFirstLastPara="1" vertOverflow="ellipsis" vert="horz" wrap="square" lIns="38100" tIns="19050" rIns="38100" bIns="19050" anchor="ctr" anchorCtr="1">
                  <a:spAutoFit/>
                </a:bodyPr>
                <a:lstStyle/>
                <a:p>
                  <a:pPr>
                    <a:defRPr sz="4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17A5-4262-9545-6BC1751056CC}"/>
                </c:ext>
              </c:extLst>
            </c:dLbl>
            <c:spPr>
              <a:noFill/>
              <a:ln>
                <a:noFill/>
              </a:ln>
              <a:effectLst/>
            </c:spPr>
            <c:txPr>
              <a:bodyPr rot="0" spcFirstLastPara="1" vertOverflow="ellipsis" vert="horz" wrap="square" lIns="38100" tIns="19050" rIns="38100" bIns="19050" anchor="ctr" anchorCtr="1">
                <a:spAutoFit/>
              </a:bodyPr>
              <a:lstStyle/>
              <a:p>
                <a:pPr>
                  <a:defRPr sz="5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report'!$B$51:$B$53</c:f>
              <c:strCache>
                <c:ptCount val="2"/>
                <c:pt idx="0">
                  <c:v>Admitted</c:v>
                </c:pt>
                <c:pt idx="1">
                  <c:v>Not Admitted</c:v>
                </c:pt>
              </c:strCache>
            </c:strRef>
          </c:cat>
          <c:val>
            <c:numRef>
              <c:f>'pivot report'!$D$51:$D$53</c:f>
              <c:numCache>
                <c:formatCode>0.00%</c:formatCode>
                <c:ptCount val="2"/>
                <c:pt idx="0">
                  <c:v>0.52436647173489281</c:v>
                </c:pt>
                <c:pt idx="1">
                  <c:v>0.47563352826510719</c:v>
                </c:pt>
              </c:numCache>
            </c:numRef>
          </c:val>
          <c:extLst>
            <c:ext xmlns:c16="http://schemas.microsoft.com/office/drawing/2014/chart" uri="{C3380CC4-5D6E-409C-BE32-E72D297353CC}">
              <c16:uniqueId val="{00000006-1162-4038-A7D3-169729C44C88}"/>
            </c:ext>
          </c:extLst>
        </c:ser>
        <c:dLbls>
          <c:showLegendKey val="0"/>
          <c:showVal val="0"/>
          <c:showCatName val="0"/>
          <c:showSerName val="0"/>
          <c:showPercent val="0"/>
          <c:showBubbleSize val="0"/>
        </c:dLbls>
        <c:gapWidth val="18"/>
        <c:overlap val="4"/>
        <c:axId val="739791344"/>
        <c:axId val="739794704"/>
      </c:barChart>
      <c:catAx>
        <c:axId val="739791344"/>
        <c:scaling>
          <c:orientation val="minMax"/>
        </c:scaling>
        <c:delete val="1"/>
        <c:axPos val="l"/>
        <c:numFmt formatCode="General" sourceLinked="1"/>
        <c:majorTickMark val="none"/>
        <c:minorTickMark val="none"/>
        <c:tickLblPos val="nextTo"/>
        <c:crossAx val="739794704"/>
        <c:crosses val="autoZero"/>
        <c:auto val="1"/>
        <c:lblAlgn val="ctr"/>
        <c:lblOffset val="100"/>
        <c:noMultiLvlLbl val="0"/>
      </c:catAx>
      <c:valAx>
        <c:axId val="739794704"/>
        <c:scaling>
          <c:orientation val="minMax"/>
        </c:scaling>
        <c:delete val="1"/>
        <c:axPos val="b"/>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crossAx val="73979134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[Book1.xlsx]pivot report!PivotTable4</c:name>
    <c:fmtId val="5"/>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w="25400">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6.444521062552431E-3"/>
          <c:y val="7.2662805755934229E-2"/>
          <c:w val="0.99355508545850624"/>
          <c:h val="0.92054774695647612"/>
        </c:manualLayout>
      </c:layout>
      <c:areaChart>
        <c:grouping val="standard"/>
        <c:varyColors val="0"/>
        <c:ser>
          <c:idx val="0"/>
          <c:order val="0"/>
          <c:tx>
            <c:strRef>
              <c:f>'pivot report'!$D$5</c:f>
              <c:strCache>
                <c:ptCount val="1"/>
                <c:pt idx="0">
                  <c:v>Total</c:v>
                </c:pt>
              </c:strCache>
            </c:strRef>
          </c:tx>
          <c:spPr>
            <a:solidFill>
              <a:schemeClr val="accent1"/>
            </a:solidFill>
            <a:ln w="25400">
              <a:noFill/>
            </a:ln>
            <a:effectLst/>
          </c:spPr>
          <c:cat>
            <c:strRef>
              <c:f>'pivot report'!$C$6:$C$37</c:f>
              <c:strCache>
                <c:ptCount val="31"/>
                <c:pt idx="0">
                  <c:v>1-Jan</c:v>
                </c:pt>
                <c:pt idx="1">
                  <c:v>2-Jan</c:v>
                </c:pt>
                <c:pt idx="2">
                  <c:v>3-Jan</c:v>
                </c:pt>
                <c:pt idx="3">
                  <c:v>4-Jan</c:v>
                </c:pt>
                <c:pt idx="4">
                  <c:v>5-Jan</c:v>
                </c:pt>
                <c:pt idx="5">
                  <c:v>6-Jan</c:v>
                </c:pt>
                <c:pt idx="6">
                  <c:v>7-Jan</c:v>
                </c:pt>
                <c:pt idx="7">
                  <c:v>8-Jan</c:v>
                </c:pt>
                <c:pt idx="8">
                  <c:v>9-Jan</c:v>
                </c:pt>
                <c:pt idx="9">
                  <c:v>10-Jan</c:v>
                </c:pt>
                <c:pt idx="10">
                  <c:v>11-Jan</c:v>
                </c:pt>
                <c:pt idx="11">
                  <c:v>12-Jan</c:v>
                </c:pt>
                <c:pt idx="12">
                  <c:v>13-Jan</c:v>
                </c:pt>
                <c:pt idx="13">
                  <c:v>14-Jan</c:v>
                </c:pt>
                <c:pt idx="14">
                  <c:v>15-Jan</c:v>
                </c:pt>
                <c:pt idx="15">
                  <c:v>16-Jan</c:v>
                </c:pt>
                <c:pt idx="16">
                  <c:v>17-Jan</c:v>
                </c:pt>
                <c:pt idx="17">
                  <c:v>18-Jan</c:v>
                </c:pt>
                <c:pt idx="18">
                  <c:v>19-Jan</c:v>
                </c:pt>
                <c:pt idx="19">
                  <c:v>20-Jan</c:v>
                </c:pt>
                <c:pt idx="20">
                  <c:v>21-Jan</c:v>
                </c:pt>
                <c:pt idx="21">
                  <c:v>22-Jan</c:v>
                </c:pt>
                <c:pt idx="22">
                  <c:v>23-Jan</c:v>
                </c:pt>
                <c:pt idx="23">
                  <c:v>24-Jan</c:v>
                </c:pt>
                <c:pt idx="24">
                  <c:v>25-Jan</c:v>
                </c:pt>
                <c:pt idx="25">
                  <c:v>26-Jan</c:v>
                </c:pt>
                <c:pt idx="26">
                  <c:v>27-Jan</c:v>
                </c:pt>
                <c:pt idx="27">
                  <c:v>28-Jan</c:v>
                </c:pt>
                <c:pt idx="28">
                  <c:v>29-Jan</c:v>
                </c:pt>
                <c:pt idx="29">
                  <c:v>30-Jan</c:v>
                </c:pt>
                <c:pt idx="30">
                  <c:v>31-Jan</c:v>
                </c:pt>
              </c:strCache>
            </c:strRef>
          </c:cat>
          <c:val>
            <c:numRef>
              <c:f>'pivot report'!$D$6:$D$37</c:f>
              <c:numCache>
                <c:formatCode>General</c:formatCode>
                <c:ptCount val="31"/>
                <c:pt idx="0">
                  <c:v>19</c:v>
                </c:pt>
                <c:pt idx="1">
                  <c:v>14</c:v>
                </c:pt>
                <c:pt idx="2">
                  <c:v>13</c:v>
                </c:pt>
                <c:pt idx="3">
                  <c:v>22</c:v>
                </c:pt>
                <c:pt idx="4">
                  <c:v>19</c:v>
                </c:pt>
                <c:pt idx="5">
                  <c:v>15</c:v>
                </c:pt>
                <c:pt idx="6">
                  <c:v>12</c:v>
                </c:pt>
                <c:pt idx="7">
                  <c:v>21</c:v>
                </c:pt>
                <c:pt idx="8">
                  <c:v>12</c:v>
                </c:pt>
                <c:pt idx="9">
                  <c:v>13</c:v>
                </c:pt>
                <c:pt idx="10">
                  <c:v>13</c:v>
                </c:pt>
                <c:pt idx="11">
                  <c:v>16</c:v>
                </c:pt>
                <c:pt idx="12">
                  <c:v>20</c:v>
                </c:pt>
                <c:pt idx="13">
                  <c:v>25</c:v>
                </c:pt>
                <c:pt idx="14">
                  <c:v>20</c:v>
                </c:pt>
                <c:pt idx="15">
                  <c:v>14</c:v>
                </c:pt>
                <c:pt idx="16">
                  <c:v>17</c:v>
                </c:pt>
                <c:pt idx="17">
                  <c:v>20</c:v>
                </c:pt>
                <c:pt idx="18">
                  <c:v>10</c:v>
                </c:pt>
                <c:pt idx="19">
                  <c:v>17</c:v>
                </c:pt>
                <c:pt idx="20">
                  <c:v>15</c:v>
                </c:pt>
                <c:pt idx="21">
                  <c:v>16</c:v>
                </c:pt>
                <c:pt idx="22">
                  <c:v>18</c:v>
                </c:pt>
                <c:pt idx="23">
                  <c:v>16</c:v>
                </c:pt>
                <c:pt idx="24">
                  <c:v>15</c:v>
                </c:pt>
                <c:pt idx="25">
                  <c:v>14</c:v>
                </c:pt>
                <c:pt idx="26">
                  <c:v>16</c:v>
                </c:pt>
                <c:pt idx="27">
                  <c:v>20</c:v>
                </c:pt>
                <c:pt idx="28">
                  <c:v>19</c:v>
                </c:pt>
                <c:pt idx="29">
                  <c:v>14</c:v>
                </c:pt>
                <c:pt idx="30">
                  <c:v>18</c:v>
                </c:pt>
              </c:numCache>
            </c:numRef>
          </c:val>
          <c:extLst>
            <c:ext xmlns:c16="http://schemas.microsoft.com/office/drawing/2014/chart" uri="{C3380CC4-5D6E-409C-BE32-E72D297353CC}">
              <c16:uniqueId val="{00000002-C4EB-4A25-BF91-E3D1DD53F474}"/>
            </c:ext>
          </c:extLst>
        </c:ser>
        <c:dLbls>
          <c:showLegendKey val="0"/>
          <c:showVal val="0"/>
          <c:showCatName val="0"/>
          <c:showSerName val="0"/>
          <c:showPercent val="0"/>
          <c:showBubbleSize val="0"/>
        </c:dLbls>
        <c:axId val="583932352"/>
        <c:axId val="583931872"/>
      </c:areaChart>
      <c:catAx>
        <c:axId val="583932352"/>
        <c:scaling>
          <c:orientation val="minMax"/>
        </c:scaling>
        <c:delete val="1"/>
        <c:axPos val="b"/>
        <c:numFmt formatCode="General" sourceLinked="1"/>
        <c:majorTickMark val="out"/>
        <c:minorTickMark val="none"/>
        <c:tickLblPos val="nextTo"/>
        <c:crossAx val="583931872"/>
        <c:crosses val="autoZero"/>
        <c:auto val="1"/>
        <c:lblAlgn val="ctr"/>
        <c:lblOffset val="100"/>
        <c:noMultiLvlLbl val="0"/>
      </c:catAx>
      <c:valAx>
        <c:axId val="583931872"/>
        <c:scaling>
          <c:orientation val="minMax"/>
        </c:scaling>
        <c:delete val="1"/>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crossAx val="583932352"/>
        <c:crosses val="autoZero"/>
        <c:crossBetween val="midCat"/>
      </c:valAx>
      <c:spPr>
        <a:noFill/>
        <a:ln w="25400">
          <a:noFill/>
        </a:ln>
        <a:effectLst/>
      </c:spPr>
    </c:plotArea>
    <c:plotVisOnly val="1"/>
    <c:dispBlanksAs val="zero"/>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[Book1.xlsx]pivot report!PivotTable5</c:name>
    <c:fmtId val="14"/>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5400">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w="25400">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
          <c:y val="4.0917336021497504E-2"/>
          <c:w val="1"/>
          <c:h val="0.92186504765544475"/>
        </c:manualLayout>
      </c:layout>
      <c:areaChart>
        <c:grouping val="standard"/>
        <c:varyColors val="0"/>
        <c:ser>
          <c:idx val="0"/>
          <c:order val="0"/>
          <c:tx>
            <c:strRef>
              <c:f>'pivot report'!$H$5</c:f>
              <c:strCache>
                <c:ptCount val="1"/>
                <c:pt idx="0">
                  <c:v>Total</c:v>
                </c:pt>
              </c:strCache>
            </c:strRef>
          </c:tx>
          <c:spPr>
            <a:solidFill>
              <a:schemeClr val="accent1"/>
            </a:solidFill>
            <a:ln w="25400">
              <a:noFill/>
            </a:ln>
            <a:effectLst/>
          </c:spPr>
          <c:cat>
            <c:strRef>
              <c:f>'pivot report'!$G$6:$G$37</c:f>
              <c:strCache>
                <c:ptCount val="31"/>
                <c:pt idx="0">
                  <c:v>1-Jan</c:v>
                </c:pt>
                <c:pt idx="1">
                  <c:v>2-Jan</c:v>
                </c:pt>
                <c:pt idx="2">
                  <c:v>3-Jan</c:v>
                </c:pt>
                <c:pt idx="3">
                  <c:v>4-Jan</c:v>
                </c:pt>
                <c:pt idx="4">
                  <c:v>5-Jan</c:v>
                </c:pt>
                <c:pt idx="5">
                  <c:v>6-Jan</c:v>
                </c:pt>
                <c:pt idx="6">
                  <c:v>7-Jan</c:v>
                </c:pt>
                <c:pt idx="7">
                  <c:v>8-Jan</c:v>
                </c:pt>
                <c:pt idx="8">
                  <c:v>9-Jan</c:v>
                </c:pt>
                <c:pt idx="9">
                  <c:v>10-Jan</c:v>
                </c:pt>
                <c:pt idx="10">
                  <c:v>11-Jan</c:v>
                </c:pt>
                <c:pt idx="11">
                  <c:v>12-Jan</c:v>
                </c:pt>
                <c:pt idx="12">
                  <c:v>13-Jan</c:v>
                </c:pt>
                <c:pt idx="13">
                  <c:v>14-Jan</c:v>
                </c:pt>
                <c:pt idx="14">
                  <c:v>15-Jan</c:v>
                </c:pt>
                <c:pt idx="15">
                  <c:v>16-Jan</c:v>
                </c:pt>
                <c:pt idx="16">
                  <c:v>17-Jan</c:v>
                </c:pt>
                <c:pt idx="17">
                  <c:v>18-Jan</c:v>
                </c:pt>
                <c:pt idx="18">
                  <c:v>19-Jan</c:v>
                </c:pt>
                <c:pt idx="19">
                  <c:v>20-Jan</c:v>
                </c:pt>
                <c:pt idx="20">
                  <c:v>21-Jan</c:v>
                </c:pt>
                <c:pt idx="21">
                  <c:v>22-Jan</c:v>
                </c:pt>
                <c:pt idx="22">
                  <c:v>23-Jan</c:v>
                </c:pt>
                <c:pt idx="23">
                  <c:v>24-Jan</c:v>
                </c:pt>
                <c:pt idx="24">
                  <c:v>25-Jan</c:v>
                </c:pt>
                <c:pt idx="25">
                  <c:v>26-Jan</c:v>
                </c:pt>
                <c:pt idx="26">
                  <c:v>27-Jan</c:v>
                </c:pt>
                <c:pt idx="27">
                  <c:v>28-Jan</c:v>
                </c:pt>
                <c:pt idx="28">
                  <c:v>29-Jan</c:v>
                </c:pt>
                <c:pt idx="29">
                  <c:v>30-Jan</c:v>
                </c:pt>
                <c:pt idx="30">
                  <c:v>31-Jan</c:v>
                </c:pt>
              </c:strCache>
            </c:strRef>
          </c:cat>
          <c:val>
            <c:numRef>
              <c:f>'pivot report'!$H$6:$H$37</c:f>
              <c:numCache>
                <c:formatCode>0.00</c:formatCode>
                <c:ptCount val="31"/>
                <c:pt idx="0">
                  <c:v>37.789473684210527</c:v>
                </c:pt>
                <c:pt idx="1">
                  <c:v>38.214285714285715</c:v>
                </c:pt>
                <c:pt idx="2">
                  <c:v>40.92307692307692</c:v>
                </c:pt>
                <c:pt idx="3">
                  <c:v>34.5</c:v>
                </c:pt>
                <c:pt idx="4">
                  <c:v>30.684210526315791</c:v>
                </c:pt>
                <c:pt idx="5">
                  <c:v>37.666666666666664</c:v>
                </c:pt>
                <c:pt idx="6">
                  <c:v>36.083333333333336</c:v>
                </c:pt>
                <c:pt idx="7">
                  <c:v>43.523809523809526</c:v>
                </c:pt>
                <c:pt idx="8">
                  <c:v>29.5</c:v>
                </c:pt>
                <c:pt idx="9">
                  <c:v>38.07692307692308</c:v>
                </c:pt>
                <c:pt idx="10">
                  <c:v>35.846153846153847</c:v>
                </c:pt>
                <c:pt idx="11">
                  <c:v>32.625</c:v>
                </c:pt>
                <c:pt idx="12">
                  <c:v>39.200000000000003</c:v>
                </c:pt>
                <c:pt idx="13">
                  <c:v>35.28</c:v>
                </c:pt>
                <c:pt idx="14">
                  <c:v>32.549999999999997</c:v>
                </c:pt>
                <c:pt idx="15">
                  <c:v>35.642857142857146</c:v>
                </c:pt>
                <c:pt idx="16">
                  <c:v>38.764705882352942</c:v>
                </c:pt>
                <c:pt idx="17">
                  <c:v>39.9</c:v>
                </c:pt>
                <c:pt idx="18">
                  <c:v>41.6</c:v>
                </c:pt>
                <c:pt idx="19">
                  <c:v>39.470588235294116</c:v>
                </c:pt>
                <c:pt idx="20">
                  <c:v>27.733333333333334</c:v>
                </c:pt>
                <c:pt idx="21">
                  <c:v>36.875</c:v>
                </c:pt>
                <c:pt idx="22">
                  <c:v>40.333333333333336</c:v>
                </c:pt>
                <c:pt idx="23">
                  <c:v>36.5</c:v>
                </c:pt>
                <c:pt idx="24">
                  <c:v>32.866666666666667</c:v>
                </c:pt>
                <c:pt idx="25">
                  <c:v>36.642857142857146</c:v>
                </c:pt>
                <c:pt idx="26">
                  <c:v>36.5625</c:v>
                </c:pt>
                <c:pt idx="27">
                  <c:v>32.15</c:v>
                </c:pt>
                <c:pt idx="28">
                  <c:v>38.368421052631582</c:v>
                </c:pt>
                <c:pt idx="29">
                  <c:v>33.071428571428569</c:v>
                </c:pt>
                <c:pt idx="30">
                  <c:v>36.444444444444443</c:v>
                </c:pt>
              </c:numCache>
            </c:numRef>
          </c:val>
          <c:extLst>
            <c:ext xmlns:c16="http://schemas.microsoft.com/office/drawing/2014/chart" uri="{C3380CC4-5D6E-409C-BE32-E72D297353CC}">
              <c16:uniqueId val="{00000002-12AB-4078-9593-55F27C964DEC}"/>
            </c:ext>
          </c:extLst>
        </c:ser>
        <c:dLbls>
          <c:showLegendKey val="0"/>
          <c:showVal val="0"/>
          <c:showCatName val="0"/>
          <c:showSerName val="0"/>
          <c:showPercent val="0"/>
          <c:showBubbleSize val="0"/>
        </c:dLbls>
        <c:axId val="580870032"/>
        <c:axId val="580857552"/>
      </c:areaChart>
      <c:catAx>
        <c:axId val="580870032"/>
        <c:scaling>
          <c:orientation val="minMax"/>
        </c:scaling>
        <c:delete val="1"/>
        <c:axPos val="b"/>
        <c:numFmt formatCode="General" sourceLinked="1"/>
        <c:majorTickMark val="out"/>
        <c:minorTickMark val="none"/>
        <c:tickLblPos val="nextTo"/>
        <c:crossAx val="580857552"/>
        <c:crosses val="autoZero"/>
        <c:auto val="1"/>
        <c:lblAlgn val="ctr"/>
        <c:lblOffset val="100"/>
        <c:noMultiLvlLbl val="0"/>
      </c:catAx>
      <c:valAx>
        <c:axId val="580857552"/>
        <c:scaling>
          <c:orientation val="minMax"/>
        </c:scaling>
        <c:delete val="1"/>
        <c:axPos val="l"/>
        <c:numFmt formatCode="0.00" sourceLinked="1"/>
        <c:majorTickMark val="none"/>
        <c:minorTickMark val="none"/>
        <c:tickLblPos val="nextTo"/>
        <c:crossAx val="580870032"/>
        <c:crosses val="autoZero"/>
        <c:crossBetween val="midCat"/>
      </c:valAx>
      <c:spPr>
        <a:noFill/>
        <a:ln w="25400">
          <a:noFill/>
        </a:ln>
        <a:effectLst/>
      </c:spPr>
    </c:plotArea>
    <c:plotVisOnly val="1"/>
    <c:dispBlanksAs val="zero"/>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[Book1.xlsx]pivot report!PivotTable6</c:name>
    <c:fmtId val="25"/>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5400">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1.9444446839458295E-2"/>
          <c:y val="8.1296930772261147E-2"/>
          <c:w val="0.98055591186884838"/>
          <c:h val="0.86777897080380995"/>
        </c:manualLayout>
      </c:layout>
      <c:areaChart>
        <c:grouping val="standard"/>
        <c:varyColors val="0"/>
        <c:ser>
          <c:idx val="0"/>
          <c:order val="0"/>
          <c:tx>
            <c:strRef>
              <c:f>'pivot report'!$L$6</c:f>
              <c:strCache>
                <c:ptCount val="1"/>
                <c:pt idx="0">
                  <c:v>Total</c:v>
                </c:pt>
              </c:strCache>
            </c:strRef>
          </c:tx>
          <c:spPr>
            <a:solidFill>
              <a:schemeClr val="accent1"/>
            </a:solidFill>
            <a:ln w="25400">
              <a:noFill/>
            </a:ln>
            <a:effectLst/>
          </c:spPr>
          <c:cat>
            <c:strRef>
              <c:f>'pivot report'!$K$7:$K$38</c:f>
              <c:strCache>
                <c:ptCount val="31"/>
                <c:pt idx="0">
                  <c:v>1-Jan</c:v>
                </c:pt>
                <c:pt idx="1">
                  <c:v>2-Jan</c:v>
                </c:pt>
                <c:pt idx="2">
                  <c:v>3-Jan</c:v>
                </c:pt>
                <c:pt idx="3">
                  <c:v>4-Jan</c:v>
                </c:pt>
                <c:pt idx="4">
                  <c:v>5-Jan</c:v>
                </c:pt>
                <c:pt idx="5">
                  <c:v>6-Jan</c:v>
                </c:pt>
                <c:pt idx="6">
                  <c:v>7-Jan</c:v>
                </c:pt>
                <c:pt idx="7">
                  <c:v>8-Jan</c:v>
                </c:pt>
                <c:pt idx="8">
                  <c:v>9-Jan</c:v>
                </c:pt>
                <c:pt idx="9">
                  <c:v>10-Jan</c:v>
                </c:pt>
                <c:pt idx="10">
                  <c:v>11-Jan</c:v>
                </c:pt>
                <c:pt idx="11">
                  <c:v>12-Jan</c:v>
                </c:pt>
                <c:pt idx="12">
                  <c:v>13-Jan</c:v>
                </c:pt>
                <c:pt idx="13">
                  <c:v>14-Jan</c:v>
                </c:pt>
                <c:pt idx="14">
                  <c:v>15-Jan</c:v>
                </c:pt>
                <c:pt idx="15">
                  <c:v>16-Jan</c:v>
                </c:pt>
                <c:pt idx="16">
                  <c:v>17-Jan</c:v>
                </c:pt>
                <c:pt idx="17">
                  <c:v>18-Jan</c:v>
                </c:pt>
                <c:pt idx="18">
                  <c:v>19-Jan</c:v>
                </c:pt>
                <c:pt idx="19">
                  <c:v>20-Jan</c:v>
                </c:pt>
                <c:pt idx="20">
                  <c:v>21-Jan</c:v>
                </c:pt>
                <c:pt idx="21">
                  <c:v>22-Jan</c:v>
                </c:pt>
                <c:pt idx="22">
                  <c:v>23-Jan</c:v>
                </c:pt>
                <c:pt idx="23">
                  <c:v>24-Jan</c:v>
                </c:pt>
                <c:pt idx="24">
                  <c:v>25-Jan</c:v>
                </c:pt>
                <c:pt idx="25">
                  <c:v>26-Jan</c:v>
                </c:pt>
                <c:pt idx="26">
                  <c:v>27-Jan</c:v>
                </c:pt>
                <c:pt idx="27">
                  <c:v>28-Jan</c:v>
                </c:pt>
                <c:pt idx="28">
                  <c:v>29-Jan</c:v>
                </c:pt>
                <c:pt idx="29">
                  <c:v>30-Jan</c:v>
                </c:pt>
                <c:pt idx="30">
                  <c:v>31-Jan</c:v>
                </c:pt>
              </c:strCache>
            </c:strRef>
          </c:cat>
          <c:val>
            <c:numRef>
              <c:f>'pivot report'!$L$7:$L$38</c:f>
              <c:numCache>
                <c:formatCode>0.00</c:formatCode>
                <c:ptCount val="31"/>
                <c:pt idx="0">
                  <c:v>6.666666666666667</c:v>
                </c:pt>
                <c:pt idx="1">
                  <c:v>3.5</c:v>
                </c:pt>
                <c:pt idx="2">
                  <c:v>4.5</c:v>
                </c:pt>
                <c:pt idx="3">
                  <c:v>4.8</c:v>
                </c:pt>
                <c:pt idx="4">
                  <c:v>7.75</c:v>
                </c:pt>
                <c:pt idx="5">
                  <c:v>6.2</c:v>
                </c:pt>
                <c:pt idx="6">
                  <c:v>3.75</c:v>
                </c:pt>
                <c:pt idx="7">
                  <c:v>6.5</c:v>
                </c:pt>
                <c:pt idx="8">
                  <c:v>3</c:v>
                </c:pt>
                <c:pt idx="9">
                  <c:v>4.5</c:v>
                </c:pt>
                <c:pt idx="10">
                  <c:v>6</c:v>
                </c:pt>
                <c:pt idx="11">
                  <c:v>5.2</c:v>
                </c:pt>
                <c:pt idx="12">
                  <c:v>4.4000000000000004</c:v>
                </c:pt>
                <c:pt idx="13">
                  <c:v>3.4545454545454546</c:v>
                </c:pt>
                <c:pt idx="14">
                  <c:v>4.4000000000000004</c:v>
                </c:pt>
                <c:pt idx="15">
                  <c:v>5.833333333333333</c:v>
                </c:pt>
                <c:pt idx="16">
                  <c:v>4.4444444444444446</c:v>
                </c:pt>
                <c:pt idx="17">
                  <c:v>5.333333333333333</c:v>
                </c:pt>
                <c:pt idx="18">
                  <c:v>5.333333333333333</c:v>
                </c:pt>
                <c:pt idx="19">
                  <c:v>5.5714285714285712</c:v>
                </c:pt>
                <c:pt idx="20">
                  <c:v>5</c:v>
                </c:pt>
                <c:pt idx="21">
                  <c:v>6.4</c:v>
                </c:pt>
                <c:pt idx="22">
                  <c:v>5.333333333333333</c:v>
                </c:pt>
                <c:pt idx="23">
                  <c:v>3.75</c:v>
                </c:pt>
                <c:pt idx="24">
                  <c:v>6.333333333333333</c:v>
                </c:pt>
                <c:pt idx="25">
                  <c:v>10</c:v>
                </c:pt>
                <c:pt idx="26">
                  <c:v>5</c:v>
                </c:pt>
                <c:pt idx="27">
                  <c:v>5.333333333333333</c:v>
                </c:pt>
                <c:pt idx="28">
                  <c:v>4.8</c:v>
                </c:pt>
                <c:pt idx="29">
                  <c:v>5</c:v>
                </c:pt>
                <c:pt idx="30">
                  <c:v>1.4</c:v>
                </c:pt>
              </c:numCache>
            </c:numRef>
          </c:val>
          <c:extLst>
            <c:ext xmlns:c16="http://schemas.microsoft.com/office/drawing/2014/chart" uri="{C3380CC4-5D6E-409C-BE32-E72D297353CC}">
              <c16:uniqueId val="{00000002-1DCA-4959-876F-98C9C2A35594}"/>
            </c:ext>
          </c:extLst>
        </c:ser>
        <c:dLbls>
          <c:showLegendKey val="0"/>
          <c:showVal val="0"/>
          <c:showCatName val="0"/>
          <c:showSerName val="0"/>
          <c:showPercent val="0"/>
          <c:showBubbleSize val="0"/>
        </c:dLbls>
        <c:axId val="806558896"/>
        <c:axId val="806556976"/>
      </c:areaChart>
      <c:catAx>
        <c:axId val="806558896"/>
        <c:scaling>
          <c:orientation val="minMax"/>
        </c:scaling>
        <c:delete val="1"/>
        <c:axPos val="b"/>
        <c:numFmt formatCode="General" sourceLinked="1"/>
        <c:majorTickMark val="out"/>
        <c:minorTickMark val="none"/>
        <c:tickLblPos val="nextTo"/>
        <c:crossAx val="806556976"/>
        <c:crosses val="autoZero"/>
        <c:auto val="1"/>
        <c:lblAlgn val="ctr"/>
        <c:lblOffset val="100"/>
        <c:noMultiLvlLbl val="0"/>
      </c:catAx>
      <c:valAx>
        <c:axId val="806556976"/>
        <c:scaling>
          <c:orientation val="minMax"/>
        </c:scaling>
        <c:delete val="1"/>
        <c:axPos val="l"/>
        <c:numFmt formatCode="0.00" sourceLinked="1"/>
        <c:majorTickMark val="none"/>
        <c:minorTickMark val="none"/>
        <c:tickLblPos val="nextTo"/>
        <c:crossAx val="806558896"/>
        <c:crosses val="autoZero"/>
        <c:crossBetween val="midCat"/>
      </c:valAx>
      <c:spPr>
        <a:noFill/>
        <a:ln>
          <a:noFill/>
        </a:ln>
        <a:effectLst/>
      </c:spPr>
    </c:plotArea>
    <c:plotVisOnly val="1"/>
    <c:dispBlanksAs val="zero"/>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[Book1.xlsx]pivot report!PivotTable8</c:name>
    <c:fmtId val="5"/>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800" b="1"/>
              <a:t>No</a:t>
            </a:r>
            <a:r>
              <a:rPr lang="en-IN" sz="800" b="1" baseline="0"/>
              <a:t> of Patient by Age Group</a:t>
            </a:r>
            <a:endParaRPr lang="en-IN" sz="800" b="1"/>
          </a:p>
        </c:rich>
      </c:tx>
      <c:layout>
        <c:manualLayout>
          <c:xMode val="edge"/>
          <c:yMode val="edge"/>
          <c:x val="0.37135112829405209"/>
          <c:y val="2.5209315275540437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6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3.7837842230011284E-2"/>
          <c:y val="0.19328870257982439"/>
          <c:w val="0.9243243155399774"/>
          <c:h val="0.51412065796098827"/>
        </c:manualLayout>
      </c:layout>
      <c:barChart>
        <c:barDir val="col"/>
        <c:grouping val="clustered"/>
        <c:varyColors val="0"/>
        <c:ser>
          <c:idx val="0"/>
          <c:order val="0"/>
          <c:tx>
            <c:strRef>
              <c:f>'pivot report'!$H$68</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6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report'!$G$69:$G$77</c:f>
              <c:strCache>
                <c:ptCount val="8"/>
                <c:pt idx="0">
                  <c:v>0-09</c:v>
                </c:pt>
                <c:pt idx="1">
                  <c:v>10-19</c:v>
                </c:pt>
                <c:pt idx="2">
                  <c:v>20-29</c:v>
                </c:pt>
                <c:pt idx="3">
                  <c:v>30-39</c:v>
                </c:pt>
                <c:pt idx="4">
                  <c:v>40-49</c:v>
                </c:pt>
                <c:pt idx="5">
                  <c:v>50-59</c:v>
                </c:pt>
                <c:pt idx="6">
                  <c:v>60-69</c:v>
                </c:pt>
                <c:pt idx="7">
                  <c:v>70-79</c:v>
                </c:pt>
              </c:strCache>
            </c:strRef>
          </c:cat>
          <c:val>
            <c:numRef>
              <c:f>'pivot report'!$H$69:$H$77</c:f>
              <c:numCache>
                <c:formatCode>0</c:formatCode>
                <c:ptCount val="8"/>
                <c:pt idx="0">
                  <c:v>76</c:v>
                </c:pt>
                <c:pt idx="1">
                  <c:v>69</c:v>
                </c:pt>
                <c:pt idx="2">
                  <c:v>64</c:v>
                </c:pt>
                <c:pt idx="3">
                  <c:v>59</c:v>
                </c:pt>
                <c:pt idx="4">
                  <c:v>58</c:v>
                </c:pt>
                <c:pt idx="5">
                  <c:v>66</c:v>
                </c:pt>
                <c:pt idx="6">
                  <c:v>67</c:v>
                </c:pt>
                <c:pt idx="7">
                  <c:v>54</c:v>
                </c:pt>
              </c:numCache>
            </c:numRef>
          </c:val>
          <c:extLst>
            <c:ext xmlns:c16="http://schemas.microsoft.com/office/drawing/2014/chart" uri="{C3380CC4-5D6E-409C-BE32-E72D297353CC}">
              <c16:uniqueId val="{00000002-12FA-4FD7-B156-88AA3756D232}"/>
            </c:ext>
          </c:extLst>
        </c:ser>
        <c:dLbls>
          <c:dLblPos val="outEnd"/>
          <c:showLegendKey val="0"/>
          <c:showVal val="1"/>
          <c:showCatName val="0"/>
          <c:showSerName val="0"/>
          <c:showPercent val="0"/>
          <c:showBubbleSize val="0"/>
        </c:dLbls>
        <c:gapWidth val="219"/>
        <c:overlap val="-27"/>
        <c:axId val="508736080"/>
        <c:axId val="508736560"/>
      </c:barChart>
      <c:catAx>
        <c:axId val="50873608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700" b="0" i="0" u="none" strike="noStrike" kern="1200" baseline="0">
                <a:solidFill>
                  <a:schemeClr val="tx1">
                    <a:lumMod val="65000"/>
                    <a:lumOff val="35000"/>
                  </a:schemeClr>
                </a:solidFill>
                <a:latin typeface="+mn-lt"/>
                <a:ea typeface="+mn-ea"/>
                <a:cs typeface="+mn-cs"/>
              </a:defRPr>
            </a:pPr>
            <a:endParaRPr lang="en-US"/>
          </a:p>
        </c:txPr>
        <c:crossAx val="508736560"/>
        <c:crosses val="autoZero"/>
        <c:auto val="1"/>
        <c:lblAlgn val="ctr"/>
        <c:lblOffset val="100"/>
        <c:noMultiLvlLbl val="0"/>
      </c:catAx>
      <c:valAx>
        <c:axId val="508736560"/>
        <c:scaling>
          <c:orientation val="minMax"/>
        </c:scaling>
        <c:delete val="1"/>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crossAx val="50873608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[Book1.xlsx]pivot report!PivotTable9</c:name>
    <c:fmtId val="16"/>
  </c:pivotSource>
  <c:chart>
    <c:title>
      <c:tx>
        <c:rich>
          <a:bodyPr rot="0" spcFirstLastPara="1" vertOverflow="ellipsis" vert="horz" wrap="square" anchor="ctr" anchorCtr="1"/>
          <a:lstStyle/>
          <a:p>
            <a:pPr>
              <a:defRPr sz="1800" b="1" i="0" u="none" strike="noStrike" kern="1200" baseline="0">
                <a:solidFill>
                  <a:schemeClr val="dk1">
                    <a:lumMod val="65000"/>
                    <a:lumOff val="35000"/>
                  </a:schemeClr>
                </a:solidFill>
                <a:latin typeface="+mn-lt"/>
                <a:ea typeface="+mn-ea"/>
                <a:cs typeface="+mn-cs"/>
              </a:defRPr>
            </a:pPr>
            <a:r>
              <a:rPr lang="en-US" sz="900"/>
              <a:t>Patient</a:t>
            </a:r>
            <a:r>
              <a:rPr lang="en-US" sz="900" baseline="0"/>
              <a:t> Attend Status</a:t>
            </a:r>
            <a:endParaRPr lang="en-US" sz="900"/>
          </a:p>
        </c:rich>
      </c:tx>
      <c:layout>
        <c:manualLayout>
          <c:xMode val="edge"/>
          <c:yMode val="edge"/>
          <c:x val="0.16708052824735706"/>
          <c:y val="0.85940495793201455"/>
        </c:manualLayout>
      </c:layout>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a:outerShdw blurRad="317500" algn="ctr" rotWithShape="0">
              <a:prstClr val="black">
                <a:alpha val="25000"/>
              </a:prstClr>
            </a:outerShdw>
          </a:effectLst>
        </c:spP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1"/>
        <c:spPr>
          <a:solidFill>
            <a:schemeClr val="accent2"/>
          </a:solidFill>
          <a:ln>
            <a:noFill/>
          </a:ln>
          <a:effectLst>
            <a:outerShdw blurRad="317500" algn="ctr" rotWithShape="0">
              <a:prstClr val="black">
                <a:alpha val="25000"/>
              </a:prstClr>
            </a:outerShdw>
          </a:effectLst>
        </c:spP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2"/>
        <c:spPr>
          <a:solidFill>
            <a:schemeClr val="accent1"/>
          </a:solidFill>
          <a:ln>
            <a:noFill/>
          </a:ln>
          <a:effectLst>
            <a:outerShdw blurRad="317500" algn="ctr" rotWithShape="0">
              <a:prstClr val="black">
                <a:alpha val="25000"/>
              </a:prstClr>
            </a:outerShdw>
          </a:effectLst>
        </c:spP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3"/>
        <c:spPr>
          <a:solidFill>
            <a:schemeClr val="accent1"/>
          </a:solidFill>
          <a:ln>
            <a:noFill/>
          </a:ln>
          <a:effectLst>
            <a:outerShdw blurRad="317500" algn="ctr" rotWithShape="0">
              <a:prstClr val="black">
                <a:alpha val="25000"/>
              </a:prstClr>
            </a:outerShdw>
          </a:effectLst>
        </c:spP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4"/>
        <c:spPr>
          <a:solidFill>
            <a:schemeClr val="accent1"/>
          </a:solidFill>
          <a:ln>
            <a:noFill/>
          </a:ln>
          <a:effectLst>
            <a:outerShdw blurRad="317500" algn="ctr" rotWithShape="0">
              <a:prstClr val="black">
                <a:alpha val="25000"/>
              </a:prstClr>
            </a:outerShdw>
          </a:effectLst>
        </c:spP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5"/>
        <c:spPr>
          <a:solidFill>
            <a:schemeClr val="accent1"/>
          </a:solidFill>
          <a:ln>
            <a:noFill/>
          </a:ln>
          <a:effectLst>
            <a:outerShdw blurRad="317500" algn="ctr" rotWithShape="0">
              <a:prstClr val="black">
                <a:alpha val="25000"/>
              </a:prstClr>
            </a:outerShdw>
          </a:effectLst>
        </c:spP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6"/>
        <c:spPr>
          <a:solidFill>
            <a:schemeClr val="accent1"/>
          </a:solidFill>
          <a:ln>
            <a:noFill/>
          </a:ln>
          <a:effectLst>
            <a:outerShdw blurRad="317500" algn="ctr" rotWithShape="0">
              <a:prstClr val="black">
                <a:alpha val="25000"/>
              </a:prst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0"/>
          <c:showCatName val="0"/>
          <c:showSerName val="0"/>
          <c:showPercent val="1"/>
          <c:showBubbleSize val="0"/>
          <c:extLst>
            <c:ext xmlns:c15="http://schemas.microsoft.com/office/drawing/2012/chart" uri="{CE6537A1-D6FC-4f65-9D91-7224C49458BB}"/>
          </c:extLst>
        </c:dLbl>
      </c:pivotFmt>
      <c:pivotFmt>
        <c:idx val="7"/>
        <c:spPr>
          <a:solidFill>
            <a:schemeClr val="accent1"/>
          </a:solidFill>
          <a:ln>
            <a:noFill/>
          </a:ln>
          <a:effectLst>
            <a:outerShdw blurRad="317500" algn="ctr" rotWithShape="0">
              <a:prstClr val="black">
                <a:alpha val="25000"/>
              </a:prstClr>
            </a:outerShdw>
          </a:effectLst>
        </c:spPr>
        <c:dLbl>
          <c:idx val="0"/>
          <c:layout>
            <c:manualLayout>
              <c:x val="-0.27055853018372716"/>
              <c:y val="-8.4997593693277737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bestFit"/>
          <c:showLegendKey val="0"/>
          <c:showVal val="0"/>
          <c:showCatName val="0"/>
          <c:showSerName val="0"/>
          <c:showPercent val="1"/>
          <c:showBubbleSize val="0"/>
          <c:extLst>
            <c:ext xmlns:c15="http://schemas.microsoft.com/office/drawing/2012/chart" uri="{CE6537A1-D6FC-4f65-9D91-7224C49458BB}"/>
          </c:extLst>
        </c:dLbl>
      </c:pivotFmt>
      <c:pivotFmt>
        <c:idx val="8"/>
        <c:spPr>
          <a:solidFill>
            <a:schemeClr val="accent1"/>
          </a:solidFill>
          <a:ln>
            <a:noFill/>
          </a:ln>
          <a:effectLst>
            <a:outerShdw blurRad="317500" algn="ctr" rotWithShape="0">
              <a:prstClr val="black">
                <a:alpha val="25000"/>
              </a:prstClr>
            </a:outerShdw>
          </a:effectLst>
        </c:spPr>
        <c:dLbl>
          <c:idx val="0"/>
          <c:layout>
            <c:manualLayout>
              <c:x val="0.25722519685039374"/>
              <c:y val="4.7863761509352835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bestFit"/>
          <c:showLegendKey val="0"/>
          <c:showVal val="0"/>
          <c:showCatName val="0"/>
          <c:showSerName val="0"/>
          <c:showPercent val="1"/>
          <c:showBubbleSize val="0"/>
          <c:extLst>
            <c:ext xmlns:c15="http://schemas.microsoft.com/office/drawing/2012/chart" uri="{CE6537A1-D6FC-4f65-9D91-7224C49458BB}"/>
          </c:extLst>
        </c:dLbl>
      </c:pivotFmt>
    </c:pivotFmts>
    <c:plotArea>
      <c:layout>
        <c:manualLayout>
          <c:layoutTarget val="inner"/>
          <c:xMode val="edge"/>
          <c:yMode val="edge"/>
          <c:x val="0.1972987911002399"/>
          <c:y val="0.18037025515629859"/>
          <c:w val="0.62044610974461434"/>
          <c:h val="0.69231832691441531"/>
        </c:manualLayout>
      </c:layout>
      <c:pieChart>
        <c:varyColors val="1"/>
        <c:ser>
          <c:idx val="0"/>
          <c:order val="0"/>
          <c:tx>
            <c:strRef>
              <c:f>'pivot report'!$L$67</c:f>
              <c:strCache>
                <c:ptCount val="1"/>
                <c:pt idx="0">
                  <c:v>Total</c:v>
                </c:pt>
              </c:strCache>
            </c:strRef>
          </c:tx>
          <c:dPt>
            <c:idx val="0"/>
            <c:bubble3D val="0"/>
            <c:spPr>
              <a:solidFill>
                <a:schemeClr val="accent1"/>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1-656C-453A-8A5C-D757A692AE27}"/>
              </c:ext>
            </c:extLst>
          </c:dPt>
          <c:dPt>
            <c:idx val="1"/>
            <c:bubble3D val="0"/>
            <c:spPr>
              <a:solidFill>
                <a:schemeClr val="accent2"/>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3-656C-453A-8A5C-D757A692AE27}"/>
              </c:ext>
            </c:extLst>
          </c:dPt>
          <c:dLbls>
            <c:dLbl>
              <c:idx val="0"/>
              <c:layout>
                <c:manualLayout>
                  <c:x val="-0.27055853018372716"/>
                  <c:y val="-8.4997593693277737E-2"/>
                </c:manualLayout>
              </c:layout>
              <c:dLblPos val="bestFit"/>
              <c:showLegendKey val="0"/>
              <c:showVal val="0"/>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01-656C-453A-8A5C-D757A692AE27}"/>
                </c:ext>
              </c:extLst>
            </c:dLbl>
            <c:dLbl>
              <c:idx val="1"/>
              <c:layout>
                <c:manualLayout>
                  <c:x val="0.25722519685039374"/>
                  <c:y val="4.7863761509352835E-2"/>
                </c:manualLayout>
              </c:layout>
              <c:dLblPos val="bestFit"/>
              <c:showLegendKey val="0"/>
              <c:showVal val="0"/>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03-656C-453A-8A5C-D757A692AE27}"/>
                </c:ext>
              </c:extLst>
            </c:dLbl>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0"/>
            <c:showCatName val="0"/>
            <c:showSerName val="0"/>
            <c:showPercent val="1"/>
            <c:showBubbleSize val="0"/>
            <c:showLeaderLines val="1"/>
            <c:leaderLines>
              <c:spPr>
                <a:ln w="9525" cap="flat" cmpd="sng" algn="ctr">
                  <a:solidFill>
                    <a:schemeClr val="dk1">
                      <a:lumMod val="35000"/>
                      <a:lumOff val="65000"/>
                    </a:schemeClr>
                  </a:solidFill>
                  <a:round/>
                </a:ln>
                <a:effectLst/>
              </c:spPr>
            </c:leaderLines>
            <c:extLst>
              <c:ext xmlns:c15="http://schemas.microsoft.com/office/drawing/2012/chart" uri="{CE6537A1-D6FC-4f65-9D91-7224C49458BB}"/>
            </c:extLst>
          </c:dLbls>
          <c:cat>
            <c:strRef>
              <c:f>'pivot report'!$K$68:$K$70</c:f>
              <c:strCache>
                <c:ptCount val="2"/>
                <c:pt idx="0">
                  <c:v>Delay</c:v>
                </c:pt>
                <c:pt idx="1">
                  <c:v>On-Time</c:v>
                </c:pt>
              </c:strCache>
            </c:strRef>
          </c:cat>
          <c:val>
            <c:numRef>
              <c:f>'pivot report'!$L$68:$L$70</c:f>
              <c:numCache>
                <c:formatCode>0</c:formatCode>
                <c:ptCount val="2"/>
                <c:pt idx="0">
                  <c:v>316</c:v>
                </c:pt>
                <c:pt idx="1">
                  <c:v>197</c:v>
                </c:pt>
              </c:numCache>
            </c:numRef>
          </c:val>
          <c:extLst>
            <c:ext xmlns:c16="http://schemas.microsoft.com/office/drawing/2014/chart" uri="{C3380CC4-5D6E-409C-BE32-E72D297353CC}">
              <c16:uniqueId val="{00000006-3C50-4FD6-82EA-F24334BCB124}"/>
            </c:ext>
          </c:extLst>
        </c:ser>
        <c:dLbls>
          <c:dLblPos val="inEnd"/>
          <c:showLegendKey val="0"/>
          <c:showVal val="0"/>
          <c:showCatName val="0"/>
          <c:showSerName val="0"/>
          <c:showPercent val="1"/>
          <c:showBubbleSize val="0"/>
          <c:showLeaderLines val="1"/>
        </c:dLbls>
        <c:firstSliceAng val="0"/>
      </c:pieChart>
      <c:spPr>
        <a:noFill/>
        <a:ln>
          <a:noFill/>
        </a:ln>
        <a:effectLst/>
      </c:spPr>
    </c:plotArea>
    <c:legend>
      <c:legendPos val="r"/>
      <c:layout>
        <c:manualLayout>
          <c:xMode val="edge"/>
          <c:yMode val="edge"/>
          <c:x val="0.12041154882479831"/>
          <c:y val="2.6418496858648222E-2"/>
          <c:w val="0.79944311167557802"/>
          <c:h val="0.12403764767161742"/>
        </c:manualLayout>
      </c:layout>
      <c:overlay val="0"/>
      <c:spPr>
        <a:solidFill>
          <a:schemeClr val="lt1">
            <a:alpha val="78000"/>
          </a:schemeClr>
        </a:solidFill>
        <a:ln>
          <a:noFill/>
        </a:ln>
        <a:effectLst/>
      </c:spPr>
      <c:txPr>
        <a:bodyPr rot="0" spcFirstLastPara="1" vertOverflow="ellipsis" vert="horz" wrap="square" anchor="ctr" anchorCtr="1"/>
        <a:lstStyle/>
        <a:p>
          <a:pPr>
            <a:defRPr sz="900" b="0" i="0" u="none" strike="noStrike" kern="1200" baseline="0">
              <a:solidFill>
                <a:schemeClr val="dk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pattFill prst="dkDnDiag">
      <a:fgClr>
        <a:schemeClr val="lt1">
          <a:lumMod val="95000"/>
        </a:schemeClr>
      </a:fgClr>
      <a:bgClr>
        <a:schemeClr val="lt1"/>
      </a:bgClr>
    </a:patt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[Book1.xlsx]pivot report!PivotTable10</c:name>
    <c:fmtId val="22"/>
  </c:pivotSource>
  <c:chart>
    <c:title>
      <c:tx>
        <c:rich>
          <a:bodyPr rot="0" spcFirstLastPara="1" vertOverflow="ellipsis" vert="horz" wrap="square" anchor="ctr" anchorCtr="1"/>
          <a:lstStyle/>
          <a:p>
            <a:pPr>
              <a:defRPr sz="1800" b="1" i="0" u="none" strike="noStrike" kern="1200" baseline="0">
                <a:solidFill>
                  <a:schemeClr val="dk1">
                    <a:lumMod val="65000"/>
                    <a:lumOff val="35000"/>
                  </a:schemeClr>
                </a:solidFill>
                <a:latin typeface="+mn-lt"/>
                <a:ea typeface="+mn-ea"/>
                <a:cs typeface="+mn-cs"/>
              </a:defRPr>
            </a:pPr>
            <a:r>
              <a:rPr lang="en-US" sz="900"/>
              <a:t>Gender</a:t>
            </a:r>
            <a:r>
              <a:rPr lang="en-US" sz="900" baseline="0"/>
              <a:t> Wise Analysis</a:t>
            </a:r>
            <a:endParaRPr lang="en-US" sz="900"/>
          </a:p>
        </c:rich>
      </c:tx>
      <c:layout>
        <c:manualLayout>
          <c:xMode val="edge"/>
          <c:yMode val="edge"/>
          <c:x val="0.16074629820336897"/>
          <c:y val="0.84130623341973243"/>
        </c:manualLayout>
      </c:layout>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a:outerShdw blurRad="317500" algn="ctr" rotWithShape="0">
              <a:prstClr val="black">
                <a:alpha val="25000"/>
              </a:prstClr>
            </a:outerShdw>
          </a:effectLst>
        </c:spPr>
        <c:marker>
          <c:symbol val="circle"/>
          <c:size val="6"/>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0"/>
          <c:showCatName val="0"/>
          <c:showSerName val="0"/>
          <c:showPercent val="1"/>
          <c:showBubbleSize val="0"/>
          <c:extLst>
            <c:ext xmlns:c15="http://schemas.microsoft.com/office/drawing/2012/chart" uri="{CE6537A1-D6FC-4f65-9D91-7224C49458BB}"/>
          </c:extLst>
        </c:dLbl>
      </c:pivotFmt>
      <c:pivotFmt>
        <c:idx val="1"/>
        <c:spPr>
          <a:solidFill>
            <a:schemeClr val="accent2"/>
          </a:solidFill>
          <a:ln>
            <a:noFill/>
          </a:ln>
          <a:effectLst>
            <a:outerShdw blurRad="317500" algn="ctr" rotWithShape="0">
              <a:prstClr val="black">
                <a:alpha val="25000"/>
              </a:prstClr>
            </a:outerShdw>
          </a:effectLst>
        </c:spPr>
        <c:dLbl>
          <c:idx val="0"/>
          <c:layout>
            <c:manualLayout>
              <c:x val="0.17794867384430146"/>
              <c:y val="-3.4007688624244949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bestFit"/>
          <c:showLegendKey val="0"/>
          <c:showVal val="0"/>
          <c:showCatName val="0"/>
          <c:showSerName val="0"/>
          <c:showPercent val="1"/>
          <c:showBubbleSize val="0"/>
          <c:extLst>
            <c:ext xmlns:c15="http://schemas.microsoft.com/office/drawing/2012/chart" uri="{CE6537A1-D6FC-4f65-9D91-7224C49458BB}"/>
          </c:extLst>
        </c:dLbl>
      </c:pivotFmt>
      <c:pivotFmt>
        <c:idx val="2"/>
        <c:spPr>
          <a:solidFill>
            <a:schemeClr val="accent1"/>
          </a:solidFill>
          <a:ln>
            <a:noFill/>
          </a:ln>
          <a:effectLst>
            <a:outerShdw blurRad="317500" algn="ctr" rotWithShape="0">
              <a:prstClr val="black">
                <a:alpha val="25000"/>
              </a:prstClr>
            </a:outerShdw>
          </a:effectLst>
        </c:spPr>
        <c:dLbl>
          <c:idx val="0"/>
          <c:layout>
            <c:manualLayout>
              <c:x val="-0.15762782036845546"/>
              <c:y val="1.6828672454326812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bestFit"/>
          <c:showLegendKey val="0"/>
          <c:showVal val="0"/>
          <c:showCatName val="0"/>
          <c:showSerName val="0"/>
          <c:showPercent val="1"/>
          <c:showBubbleSize val="0"/>
          <c:extLst>
            <c:ext xmlns:c15="http://schemas.microsoft.com/office/drawing/2012/chart" uri="{CE6537A1-D6FC-4f65-9D91-7224C49458BB}"/>
          </c:extLst>
        </c:dLbl>
      </c:pivotFmt>
      <c:pivotFmt>
        <c:idx val="3"/>
        <c:spPr>
          <a:solidFill>
            <a:schemeClr val="accent1"/>
          </a:solidFill>
          <a:ln>
            <a:noFill/>
          </a:ln>
          <a:effectLst>
            <a:outerShdw blurRad="317500" algn="ctr" rotWithShape="0">
              <a:prstClr val="black">
                <a:alpha val="25000"/>
              </a:prst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0"/>
          <c:showCatName val="0"/>
          <c:showSerName val="0"/>
          <c:showPercent val="1"/>
          <c:showBubbleSize val="0"/>
          <c:extLst>
            <c:ext xmlns:c15="http://schemas.microsoft.com/office/drawing/2012/chart" uri="{CE6537A1-D6FC-4f65-9D91-7224C49458BB}"/>
          </c:extLst>
        </c:dLbl>
      </c:pivotFmt>
      <c:pivotFmt>
        <c:idx val="4"/>
        <c:spPr>
          <a:solidFill>
            <a:schemeClr val="accent1"/>
          </a:solidFill>
          <a:ln>
            <a:noFill/>
          </a:ln>
          <a:effectLst>
            <a:outerShdw blurRad="317500" algn="ctr" rotWithShape="0">
              <a:prstClr val="black">
                <a:alpha val="25000"/>
              </a:prstClr>
            </a:outerShdw>
          </a:effectLst>
        </c:spPr>
        <c:dLbl>
          <c:idx val="0"/>
          <c:layout>
            <c:manualLayout>
              <c:x val="-0.15762782036845546"/>
              <c:y val="1.6828672454326812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bestFit"/>
          <c:showLegendKey val="0"/>
          <c:showVal val="0"/>
          <c:showCatName val="0"/>
          <c:showSerName val="0"/>
          <c:showPercent val="1"/>
          <c:showBubbleSize val="0"/>
          <c:extLst>
            <c:ext xmlns:c15="http://schemas.microsoft.com/office/drawing/2012/chart" uri="{CE6537A1-D6FC-4f65-9D91-7224C49458BB}"/>
          </c:extLst>
        </c:dLbl>
      </c:pivotFmt>
      <c:pivotFmt>
        <c:idx val="5"/>
        <c:spPr>
          <a:solidFill>
            <a:schemeClr val="accent1"/>
          </a:solidFill>
          <a:ln>
            <a:noFill/>
          </a:ln>
          <a:effectLst>
            <a:outerShdw blurRad="317500" algn="ctr" rotWithShape="0">
              <a:prstClr val="black">
                <a:alpha val="25000"/>
              </a:prstClr>
            </a:outerShdw>
          </a:effectLst>
        </c:spPr>
        <c:dLbl>
          <c:idx val="0"/>
          <c:layout>
            <c:manualLayout>
              <c:x val="0.17794867384430146"/>
              <c:y val="-3.4007688624244949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bestFit"/>
          <c:showLegendKey val="0"/>
          <c:showVal val="0"/>
          <c:showCatName val="0"/>
          <c:showSerName val="0"/>
          <c:showPercent val="1"/>
          <c:showBubbleSize val="0"/>
          <c:extLst>
            <c:ext xmlns:c15="http://schemas.microsoft.com/office/drawing/2012/chart" uri="{CE6537A1-D6FC-4f65-9D91-7224C49458BB}"/>
          </c:extLst>
        </c:dLbl>
      </c:pivotFmt>
      <c:pivotFmt>
        <c:idx val="6"/>
        <c:spPr>
          <a:solidFill>
            <a:schemeClr val="accent1"/>
          </a:solidFill>
          <a:ln>
            <a:noFill/>
          </a:ln>
          <a:effectLst>
            <a:outerShdw blurRad="317500" algn="ctr" rotWithShape="0">
              <a:prstClr val="black">
                <a:alpha val="25000"/>
              </a:prst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0"/>
          <c:showCatName val="0"/>
          <c:showSerName val="0"/>
          <c:showPercent val="1"/>
          <c:showBubbleSize val="0"/>
          <c:extLst>
            <c:ext xmlns:c15="http://schemas.microsoft.com/office/drawing/2012/chart" uri="{CE6537A1-D6FC-4f65-9D91-7224C49458BB}"/>
          </c:extLst>
        </c:dLbl>
      </c:pivotFmt>
      <c:pivotFmt>
        <c:idx val="7"/>
        <c:spPr>
          <a:solidFill>
            <a:schemeClr val="accent1"/>
          </a:solidFill>
          <a:ln>
            <a:noFill/>
          </a:ln>
          <a:effectLst>
            <a:outerShdw blurRad="317500" algn="ctr" rotWithShape="0">
              <a:prstClr val="black">
                <a:alpha val="25000"/>
              </a:prstClr>
            </a:outerShdw>
          </a:effectLst>
        </c:spPr>
        <c:dLbl>
          <c:idx val="0"/>
          <c:layout>
            <c:manualLayout>
              <c:x val="-0.46484922770455156"/>
              <c:y val="-1.9982188780090854E-2"/>
            </c:manualLayout>
          </c:layout>
          <c:spPr>
            <a:noFill/>
            <a:ln>
              <a:noFill/>
            </a:ln>
            <a:effectLst/>
          </c:spPr>
          <c:txPr>
            <a:bodyPr rot="0" spcFirstLastPara="1" vertOverflow="ellipsis" vert="horz" wrap="square" lIns="38100" tIns="19050" rIns="38100" bIns="19050" anchor="ctr" anchorCtr="1">
              <a:spAutoFit/>
            </a:bodyPr>
            <a:lstStyle/>
            <a:p>
              <a:pPr>
                <a:defRPr sz="7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8"/>
        <c:spPr>
          <a:solidFill>
            <a:schemeClr val="accent1"/>
          </a:solidFill>
          <a:ln>
            <a:noFill/>
          </a:ln>
          <a:effectLst>
            <a:outerShdw blurRad="317500" algn="ctr" rotWithShape="0">
              <a:prstClr val="black">
                <a:alpha val="25000"/>
              </a:prstClr>
            </a:outerShdw>
          </a:effectLst>
        </c:spPr>
        <c:dLbl>
          <c:idx val="0"/>
          <c:layout>
            <c:manualLayout>
              <c:x val="0.46194255774540627"/>
              <c:y val="5.7406040017999621E-2"/>
            </c:manualLayout>
          </c:layout>
          <c:spPr>
            <a:noFill/>
            <a:ln>
              <a:noFill/>
            </a:ln>
            <a:effectLst/>
          </c:spPr>
          <c:txPr>
            <a:bodyPr rot="0" spcFirstLastPara="1" vertOverflow="ellipsis" vert="horz" wrap="square" lIns="38100" tIns="19050" rIns="38100" bIns="19050" anchor="ctr" anchorCtr="1">
              <a:spAutoFit/>
            </a:bodyPr>
            <a:lstStyle/>
            <a:p>
              <a:pPr>
                <a:defRPr sz="7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s>
    <c:plotArea>
      <c:layout>
        <c:manualLayout>
          <c:layoutTarget val="inner"/>
          <c:xMode val="edge"/>
          <c:yMode val="edge"/>
          <c:x val="0.2106522296143282"/>
          <c:y val="0.18067775411456516"/>
          <c:w val="0.63763054665950236"/>
          <c:h val="0.6698533146767206"/>
        </c:manualLayout>
      </c:layout>
      <c:doughnutChart>
        <c:varyColors val="1"/>
        <c:ser>
          <c:idx val="0"/>
          <c:order val="0"/>
          <c:tx>
            <c:strRef>
              <c:f>'pivot report'!$L$78</c:f>
              <c:strCache>
                <c:ptCount val="1"/>
                <c:pt idx="0">
                  <c:v>Total</c:v>
                </c:pt>
              </c:strCache>
            </c:strRef>
          </c:tx>
          <c:dPt>
            <c:idx val="0"/>
            <c:bubble3D val="0"/>
            <c:spPr>
              <a:solidFill>
                <a:schemeClr val="accent1"/>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1-4933-4B1B-A227-3F32094633BA}"/>
              </c:ext>
            </c:extLst>
          </c:dPt>
          <c:dPt>
            <c:idx val="1"/>
            <c:bubble3D val="0"/>
            <c:spPr>
              <a:solidFill>
                <a:schemeClr val="accent2"/>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3-4933-4B1B-A227-3F32094633BA}"/>
              </c:ext>
            </c:extLst>
          </c:dPt>
          <c:dLbls>
            <c:dLbl>
              <c:idx val="0"/>
              <c:layout>
                <c:manualLayout>
                  <c:x val="-0.46484922770455156"/>
                  <c:y val="-1.9982188780090854E-2"/>
                </c:manualLayout>
              </c:layout>
              <c:spPr>
                <a:noFill/>
                <a:ln>
                  <a:noFill/>
                </a:ln>
                <a:effectLst/>
              </c:spPr>
              <c:txPr>
                <a:bodyPr rot="0" spcFirstLastPara="1" vertOverflow="ellipsis" vert="horz" wrap="square" lIns="38100" tIns="19050" rIns="38100" bIns="19050" anchor="ctr" anchorCtr="1">
                  <a:spAutoFit/>
                </a:bodyPr>
                <a:lstStyle/>
                <a:p>
                  <a:pPr>
                    <a:defRPr sz="7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01-4933-4B1B-A227-3F32094633BA}"/>
                </c:ext>
              </c:extLst>
            </c:dLbl>
            <c:dLbl>
              <c:idx val="1"/>
              <c:layout>
                <c:manualLayout>
                  <c:x val="0.46194255774540627"/>
                  <c:y val="5.7406040017999621E-2"/>
                </c:manualLayout>
              </c:layout>
              <c:spPr>
                <a:noFill/>
                <a:ln>
                  <a:noFill/>
                </a:ln>
                <a:effectLst/>
              </c:spPr>
              <c:txPr>
                <a:bodyPr rot="0" spcFirstLastPara="1" vertOverflow="ellipsis" vert="horz" wrap="square" lIns="38100" tIns="19050" rIns="38100" bIns="19050" anchor="ctr" anchorCtr="1">
                  <a:spAutoFit/>
                </a:bodyPr>
                <a:lstStyle/>
                <a:p>
                  <a:pPr>
                    <a:defRPr sz="7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03-4933-4B1B-A227-3F32094633BA}"/>
                </c:ext>
              </c:extLst>
            </c:dLbl>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showLeaderLines val="0"/>
            <c:extLst>
              <c:ext xmlns:c15="http://schemas.microsoft.com/office/drawing/2012/chart" uri="{CE6537A1-D6FC-4f65-9D91-7224C49458BB}"/>
            </c:extLst>
          </c:dLbls>
          <c:cat>
            <c:strRef>
              <c:f>'pivot report'!$K$79:$K$81</c:f>
              <c:strCache>
                <c:ptCount val="2"/>
                <c:pt idx="0">
                  <c:v>Female</c:v>
                </c:pt>
                <c:pt idx="1">
                  <c:v>Male</c:v>
                </c:pt>
              </c:strCache>
            </c:strRef>
          </c:cat>
          <c:val>
            <c:numRef>
              <c:f>'pivot report'!$L$79:$L$81</c:f>
              <c:numCache>
                <c:formatCode>0</c:formatCode>
                <c:ptCount val="2"/>
                <c:pt idx="0">
                  <c:v>241</c:v>
                </c:pt>
                <c:pt idx="1">
                  <c:v>272</c:v>
                </c:pt>
              </c:numCache>
            </c:numRef>
          </c:val>
          <c:extLst>
            <c:ext xmlns:c16="http://schemas.microsoft.com/office/drawing/2014/chart" uri="{C3380CC4-5D6E-409C-BE32-E72D297353CC}">
              <c16:uniqueId val="{00000006-DC91-4D5E-9295-942443067BDB}"/>
            </c:ext>
          </c:extLst>
        </c:ser>
        <c:dLbls>
          <c:showLegendKey val="0"/>
          <c:showVal val="0"/>
          <c:showCatName val="0"/>
          <c:showSerName val="0"/>
          <c:showPercent val="1"/>
          <c:showBubbleSize val="0"/>
          <c:showLeaderLines val="0"/>
        </c:dLbls>
        <c:firstSliceAng val="0"/>
        <c:holeSize val="50"/>
      </c:doughnutChart>
      <c:spPr>
        <a:noFill/>
        <a:ln>
          <a:noFill/>
        </a:ln>
        <a:effectLst/>
      </c:spPr>
    </c:plotArea>
    <c:legend>
      <c:legendPos val="r"/>
      <c:layout>
        <c:manualLayout>
          <c:xMode val="edge"/>
          <c:yMode val="edge"/>
          <c:x val="0.172808146188277"/>
          <c:y val="2.1577151519168645E-2"/>
          <c:w val="0.71104140293009166"/>
          <c:h val="0.12352773350931849"/>
        </c:manualLayout>
      </c:layout>
      <c:overlay val="0"/>
      <c:spPr>
        <a:solidFill>
          <a:schemeClr val="lt1">
            <a:alpha val="78000"/>
          </a:schemeClr>
        </a:solidFill>
        <a:ln>
          <a:noFill/>
        </a:ln>
        <a:effectLst/>
      </c:spPr>
      <c:txPr>
        <a:bodyPr rot="0" spcFirstLastPara="1" vertOverflow="ellipsis" vert="horz" wrap="square" anchor="ctr" anchorCtr="1"/>
        <a:lstStyle/>
        <a:p>
          <a:pPr>
            <a:defRPr sz="900" b="0" i="0" u="none" strike="noStrike" kern="1200" baseline="0">
              <a:solidFill>
                <a:schemeClr val="dk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pattFill prst="dkDnDiag">
      <a:fgClr>
        <a:schemeClr val="lt1">
          <a:lumMod val="95000"/>
        </a:schemeClr>
      </a:fgClr>
      <a:bgClr>
        <a:schemeClr val="lt1"/>
      </a:bgClr>
    </a:patt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[Book1.xlsx]pivot report!PivotTable11</c:name>
    <c:fmtId val="29"/>
  </c:pivotSource>
  <c:chart>
    <c:title>
      <c:tx>
        <c:rich>
          <a:bodyPr rot="0" spcFirstLastPara="1" vertOverflow="ellipsis" vert="horz" wrap="square" anchor="ctr" anchorCtr="1"/>
          <a:lstStyle/>
          <a:p>
            <a:pPr>
              <a:defRPr sz="840" b="0" i="0" u="none" strike="noStrike" kern="1200" spc="0" baseline="0">
                <a:solidFill>
                  <a:schemeClr val="tx1">
                    <a:lumMod val="65000"/>
                    <a:lumOff val="35000"/>
                  </a:schemeClr>
                </a:solidFill>
                <a:latin typeface="+mn-lt"/>
                <a:ea typeface="+mn-ea"/>
                <a:cs typeface="+mn-cs"/>
              </a:defRPr>
            </a:pPr>
            <a:r>
              <a:rPr lang="en-IN" sz="600" b="1"/>
              <a:t>No</a:t>
            </a:r>
            <a:r>
              <a:rPr lang="en-IN" sz="600" b="1" baseline="0"/>
              <a:t> of Patient by Department</a:t>
            </a:r>
            <a:endParaRPr lang="en-IN" sz="600" b="1"/>
          </a:p>
        </c:rich>
      </c:tx>
      <c:layout>
        <c:manualLayout>
          <c:xMode val="edge"/>
          <c:yMode val="edge"/>
          <c:x val="0.28778002892040483"/>
          <c:y val="0.90539556129340004"/>
        </c:manualLayout>
      </c:layout>
      <c:overlay val="0"/>
      <c:spPr>
        <a:noFill/>
        <a:ln>
          <a:noFill/>
        </a:ln>
        <a:effectLst/>
      </c:spPr>
      <c:txPr>
        <a:bodyPr rot="0" spcFirstLastPara="1" vertOverflow="ellipsis" vert="horz" wrap="square" anchor="ctr" anchorCtr="1"/>
        <a:lstStyle/>
        <a:p>
          <a:pPr>
            <a:defRPr sz="84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7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26189666655333177"/>
          <c:y val="3.292347495612364E-2"/>
          <c:w val="0.67951317985118453"/>
          <c:h val="0.74321115354005129"/>
        </c:manualLayout>
      </c:layout>
      <c:barChart>
        <c:barDir val="bar"/>
        <c:grouping val="clustered"/>
        <c:varyColors val="0"/>
        <c:ser>
          <c:idx val="0"/>
          <c:order val="0"/>
          <c:tx>
            <c:strRef>
              <c:f>'pivot report'!$P$78</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7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report'!$O$79:$O$87</c:f>
              <c:strCache>
                <c:ptCount val="8"/>
                <c:pt idx="0">
                  <c:v>None</c:v>
                </c:pt>
                <c:pt idx="1">
                  <c:v>General Practice</c:v>
                </c:pt>
                <c:pt idx="2">
                  <c:v>Orthopedics</c:v>
                </c:pt>
                <c:pt idx="3">
                  <c:v>Physiotherapy</c:v>
                </c:pt>
                <c:pt idx="4">
                  <c:v>Cardiology</c:v>
                </c:pt>
                <c:pt idx="5">
                  <c:v>Neurology</c:v>
                </c:pt>
                <c:pt idx="6">
                  <c:v>Renal</c:v>
                </c:pt>
                <c:pt idx="7">
                  <c:v>Gastroenterology</c:v>
                </c:pt>
              </c:strCache>
            </c:strRef>
          </c:cat>
          <c:val>
            <c:numRef>
              <c:f>'pivot report'!$P$79:$P$87</c:f>
              <c:numCache>
                <c:formatCode>0</c:formatCode>
                <c:ptCount val="8"/>
                <c:pt idx="0">
                  <c:v>299</c:v>
                </c:pt>
                <c:pt idx="1">
                  <c:v>103</c:v>
                </c:pt>
                <c:pt idx="2">
                  <c:v>65</c:v>
                </c:pt>
                <c:pt idx="3">
                  <c:v>14</c:v>
                </c:pt>
                <c:pt idx="4">
                  <c:v>14</c:v>
                </c:pt>
                <c:pt idx="5">
                  <c:v>9</c:v>
                </c:pt>
                <c:pt idx="6">
                  <c:v>5</c:v>
                </c:pt>
                <c:pt idx="7">
                  <c:v>4</c:v>
                </c:pt>
              </c:numCache>
            </c:numRef>
          </c:val>
          <c:extLst>
            <c:ext xmlns:c16="http://schemas.microsoft.com/office/drawing/2014/chart" uri="{C3380CC4-5D6E-409C-BE32-E72D297353CC}">
              <c16:uniqueId val="{00000002-34B5-4836-BA26-96D14AA7C210}"/>
            </c:ext>
          </c:extLst>
        </c:ser>
        <c:dLbls>
          <c:dLblPos val="outEnd"/>
          <c:showLegendKey val="0"/>
          <c:showVal val="1"/>
          <c:showCatName val="0"/>
          <c:showSerName val="0"/>
          <c:showPercent val="0"/>
          <c:showBubbleSize val="0"/>
        </c:dLbls>
        <c:gapWidth val="26"/>
        <c:axId val="678203680"/>
        <c:axId val="678206560"/>
      </c:barChart>
      <c:catAx>
        <c:axId val="678203680"/>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700" b="0" i="0" u="none" strike="noStrike" kern="1200" baseline="0">
                <a:solidFill>
                  <a:schemeClr val="tx1">
                    <a:lumMod val="65000"/>
                    <a:lumOff val="35000"/>
                  </a:schemeClr>
                </a:solidFill>
                <a:latin typeface="+mn-lt"/>
                <a:ea typeface="+mn-ea"/>
                <a:cs typeface="+mn-cs"/>
              </a:defRPr>
            </a:pPr>
            <a:endParaRPr lang="en-US"/>
          </a:p>
        </c:txPr>
        <c:crossAx val="678206560"/>
        <c:crosses val="autoZero"/>
        <c:auto val="1"/>
        <c:lblAlgn val="ctr"/>
        <c:lblOffset val="100"/>
        <c:noMultiLvlLbl val="0"/>
      </c:catAx>
      <c:valAx>
        <c:axId val="678206560"/>
        <c:scaling>
          <c:orientation val="minMax"/>
        </c:scaling>
        <c:delete val="0"/>
        <c:axPos val="b"/>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700" b="0" i="0" u="none" strike="noStrike" kern="1200" baseline="0">
                <a:solidFill>
                  <a:schemeClr val="tx1">
                    <a:lumMod val="65000"/>
                    <a:lumOff val="35000"/>
                  </a:schemeClr>
                </a:solidFill>
                <a:latin typeface="+mn-lt"/>
                <a:ea typeface="+mn-ea"/>
                <a:cs typeface="+mn-cs"/>
              </a:defRPr>
            </a:pPr>
            <a:endParaRPr lang="en-US"/>
          </a:p>
        </c:txPr>
        <c:crossAx val="67820368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sz="700"/>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[Book1.xlsx]pivot report!PivotTable4</c:name>
    <c:fmtId val="8"/>
  </c:pivotSource>
  <c:chart>
    <c:autoTitleDeleted val="1"/>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spPr>
          <a:gradFill>
            <a:gsLst>
              <a:gs pos="0">
                <a:schemeClr val="lt1">
                  <a:alpha val="50000"/>
                </a:schemeClr>
              </a:gs>
              <a:gs pos="100000">
                <a:schemeClr val="lt1">
                  <a:alpha val="0"/>
                </a:schemeClr>
              </a:gs>
            </a:gsLst>
            <a:lin ang="5400000" scaled="0"/>
          </a:gradFill>
          <a:ln>
            <a:solidFill>
              <a:schemeClr val="accent1"/>
            </a:solidFill>
          </a:ln>
          <a:effectLst>
            <a:innerShdw dist="38100" dir="16200000">
              <a:schemeClr val="lt1"/>
            </a:inn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3.954883271170051E-2"/>
          <c:y val="3.5739562944487026E-2"/>
          <c:w val="0.93629755491089928"/>
          <c:h val="0.79586178619716796"/>
        </c:manualLayout>
      </c:layout>
      <c:areaChart>
        <c:grouping val="standard"/>
        <c:varyColors val="0"/>
        <c:ser>
          <c:idx val="0"/>
          <c:order val="0"/>
          <c:tx>
            <c:strRef>
              <c:f>'pivot report'!$D$5</c:f>
              <c:strCache>
                <c:ptCount val="1"/>
                <c:pt idx="0">
                  <c:v>Total</c:v>
                </c:pt>
              </c:strCache>
            </c:strRef>
          </c:tx>
          <c:spPr>
            <a:gradFill>
              <a:gsLst>
                <a:gs pos="0">
                  <a:schemeClr val="lt1">
                    <a:alpha val="50000"/>
                  </a:schemeClr>
                </a:gs>
                <a:gs pos="100000">
                  <a:schemeClr val="lt1">
                    <a:alpha val="0"/>
                  </a:schemeClr>
                </a:gs>
              </a:gsLst>
              <a:lin ang="5400000" scaled="0"/>
            </a:gradFill>
            <a:ln>
              <a:solidFill>
                <a:schemeClr val="accent1"/>
              </a:solidFill>
            </a:ln>
            <a:effectLst>
              <a:innerShdw dist="38100" dir="16200000">
                <a:schemeClr val="lt1"/>
              </a:innerShdw>
            </a:effectLst>
          </c:spPr>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accent1">
                          <a:lumMod val="60000"/>
                          <a:lumOff val="40000"/>
                        </a:schemeClr>
                      </a:solidFill>
                    </a:ln>
                    <a:effectLst/>
                  </c:spPr>
                </c15:leaderLines>
              </c:ext>
            </c:extLst>
          </c:dLbls>
          <c:cat>
            <c:strRef>
              <c:f>'pivot report'!$C$6:$C$37</c:f>
              <c:strCache>
                <c:ptCount val="31"/>
                <c:pt idx="0">
                  <c:v>1-Jan</c:v>
                </c:pt>
                <c:pt idx="1">
                  <c:v>2-Jan</c:v>
                </c:pt>
                <c:pt idx="2">
                  <c:v>3-Jan</c:v>
                </c:pt>
                <c:pt idx="3">
                  <c:v>4-Jan</c:v>
                </c:pt>
                <c:pt idx="4">
                  <c:v>5-Jan</c:v>
                </c:pt>
                <c:pt idx="5">
                  <c:v>6-Jan</c:v>
                </c:pt>
                <c:pt idx="6">
                  <c:v>7-Jan</c:v>
                </c:pt>
                <c:pt idx="7">
                  <c:v>8-Jan</c:v>
                </c:pt>
                <c:pt idx="8">
                  <c:v>9-Jan</c:v>
                </c:pt>
                <c:pt idx="9">
                  <c:v>10-Jan</c:v>
                </c:pt>
                <c:pt idx="10">
                  <c:v>11-Jan</c:v>
                </c:pt>
                <c:pt idx="11">
                  <c:v>12-Jan</c:v>
                </c:pt>
                <c:pt idx="12">
                  <c:v>13-Jan</c:v>
                </c:pt>
                <c:pt idx="13">
                  <c:v>14-Jan</c:v>
                </c:pt>
                <c:pt idx="14">
                  <c:v>15-Jan</c:v>
                </c:pt>
                <c:pt idx="15">
                  <c:v>16-Jan</c:v>
                </c:pt>
                <c:pt idx="16">
                  <c:v>17-Jan</c:v>
                </c:pt>
                <c:pt idx="17">
                  <c:v>18-Jan</c:v>
                </c:pt>
                <c:pt idx="18">
                  <c:v>19-Jan</c:v>
                </c:pt>
                <c:pt idx="19">
                  <c:v>20-Jan</c:v>
                </c:pt>
                <c:pt idx="20">
                  <c:v>21-Jan</c:v>
                </c:pt>
                <c:pt idx="21">
                  <c:v>22-Jan</c:v>
                </c:pt>
                <c:pt idx="22">
                  <c:v>23-Jan</c:v>
                </c:pt>
                <c:pt idx="23">
                  <c:v>24-Jan</c:v>
                </c:pt>
                <c:pt idx="24">
                  <c:v>25-Jan</c:v>
                </c:pt>
                <c:pt idx="25">
                  <c:v>26-Jan</c:v>
                </c:pt>
                <c:pt idx="26">
                  <c:v>27-Jan</c:v>
                </c:pt>
                <c:pt idx="27">
                  <c:v>28-Jan</c:v>
                </c:pt>
                <c:pt idx="28">
                  <c:v>29-Jan</c:v>
                </c:pt>
                <c:pt idx="29">
                  <c:v>30-Jan</c:v>
                </c:pt>
                <c:pt idx="30">
                  <c:v>31-Jan</c:v>
                </c:pt>
              </c:strCache>
            </c:strRef>
          </c:cat>
          <c:val>
            <c:numRef>
              <c:f>'pivot report'!$D$6:$D$37</c:f>
              <c:numCache>
                <c:formatCode>General</c:formatCode>
                <c:ptCount val="31"/>
                <c:pt idx="0">
                  <c:v>19</c:v>
                </c:pt>
                <c:pt idx="1">
                  <c:v>14</c:v>
                </c:pt>
                <c:pt idx="2">
                  <c:v>13</c:v>
                </c:pt>
                <c:pt idx="3">
                  <c:v>22</c:v>
                </c:pt>
                <c:pt idx="4">
                  <c:v>19</c:v>
                </c:pt>
                <c:pt idx="5">
                  <c:v>15</c:v>
                </c:pt>
                <c:pt idx="6">
                  <c:v>12</c:v>
                </c:pt>
                <c:pt idx="7">
                  <c:v>21</c:v>
                </c:pt>
                <c:pt idx="8">
                  <c:v>12</c:v>
                </c:pt>
                <c:pt idx="9">
                  <c:v>13</c:v>
                </c:pt>
                <c:pt idx="10">
                  <c:v>13</c:v>
                </c:pt>
                <c:pt idx="11">
                  <c:v>16</c:v>
                </c:pt>
                <c:pt idx="12">
                  <c:v>20</c:v>
                </c:pt>
                <c:pt idx="13">
                  <c:v>25</c:v>
                </c:pt>
                <c:pt idx="14">
                  <c:v>20</c:v>
                </c:pt>
                <c:pt idx="15">
                  <c:v>14</c:v>
                </c:pt>
                <c:pt idx="16">
                  <c:v>17</c:v>
                </c:pt>
                <c:pt idx="17">
                  <c:v>20</c:v>
                </c:pt>
                <c:pt idx="18">
                  <c:v>10</c:v>
                </c:pt>
                <c:pt idx="19">
                  <c:v>17</c:v>
                </c:pt>
                <c:pt idx="20">
                  <c:v>15</c:v>
                </c:pt>
                <c:pt idx="21">
                  <c:v>16</c:v>
                </c:pt>
                <c:pt idx="22">
                  <c:v>18</c:v>
                </c:pt>
                <c:pt idx="23">
                  <c:v>16</c:v>
                </c:pt>
                <c:pt idx="24">
                  <c:v>15</c:v>
                </c:pt>
                <c:pt idx="25">
                  <c:v>14</c:v>
                </c:pt>
                <c:pt idx="26">
                  <c:v>16</c:v>
                </c:pt>
                <c:pt idx="27">
                  <c:v>20</c:v>
                </c:pt>
                <c:pt idx="28">
                  <c:v>19</c:v>
                </c:pt>
                <c:pt idx="29">
                  <c:v>14</c:v>
                </c:pt>
                <c:pt idx="30">
                  <c:v>18</c:v>
                </c:pt>
              </c:numCache>
            </c:numRef>
          </c:val>
          <c:extLst>
            <c:ext xmlns:c16="http://schemas.microsoft.com/office/drawing/2014/chart" uri="{C3380CC4-5D6E-409C-BE32-E72D297353CC}">
              <c16:uniqueId val="{00000001-59ED-4803-8C7D-2113F7C852B4}"/>
            </c:ext>
          </c:extLst>
        </c:ser>
        <c:dLbls>
          <c:showLegendKey val="0"/>
          <c:showVal val="1"/>
          <c:showCatName val="0"/>
          <c:showSerName val="0"/>
          <c:showPercent val="0"/>
          <c:showBubbleSize val="0"/>
        </c:dLbls>
        <c:dropLines>
          <c:spPr>
            <a:ln w="9525" cap="flat" cmpd="sng" algn="ctr">
              <a:gradFill>
                <a:gsLst>
                  <a:gs pos="0">
                    <a:schemeClr val="lt1"/>
                  </a:gs>
                  <a:gs pos="50000">
                    <a:schemeClr val="lt1">
                      <a:alpha val="0"/>
                    </a:schemeClr>
                  </a:gs>
                </a:gsLst>
                <a:lin ang="5400000" scaled="0"/>
              </a:gradFill>
              <a:round/>
            </a:ln>
            <a:effectLst/>
          </c:spPr>
        </c:dropLines>
        <c:axId val="583932352"/>
        <c:axId val="583931872"/>
      </c:areaChart>
      <c:catAx>
        <c:axId val="583932352"/>
        <c:scaling>
          <c:orientation val="minMax"/>
        </c:scaling>
        <c:delete val="0"/>
        <c:axPos val="b"/>
        <c:numFmt formatCode="General" sourceLinked="1"/>
        <c:majorTickMark val="none"/>
        <c:minorTickMark val="none"/>
        <c:tickLblPos val="nextTo"/>
        <c:spPr>
          <a:noFill/>
          <a:ln w="9525" cap="flat" cmpd="sng" algn="ctr">
            <a:solidFill>
              <a:schemeClr val="accent1">
                <a:lumMod val="40000"/>
                <a:lumOff val="60000"/>
                <a:alpha val="25000"/>
              </a:schemeClr>
            </a:solidFill>
            <a:round/>
          </a:ln>
          <a:effectLst/>
        </c:spPr>
        <c:txPr>
          <a:bodyPr rot="-60000000" spcFirstLastPara="1" vertOverflow="ellipsis" vert="horz" wrap="square" anchor="ctr" anchorCtr="1"/>
          <a:lstStyle/>
          <a:p>
            <a:pPr>
              <a:defRPr sz="900" b="0" i="0" u="none" strike="noStrike" kern="1200" baseline="0">
                <a:solidFill>
                  <a:schemeClr val="lt1"/>
                </a:solidFill>
                <a:latin typeface="+mn-lt"/>
                <a:ea typeface="+mn-ea"/>
                <a:cs typeface="+mn-cs"/>
              </a:defRPr>
            </a:pPr>
            <a:endParaRPr lang="en-US"/>
          </a:p>
        </c:txPr>
        <c:crossAx val="583931872"/>
        <c:crosses val="autoZero"/>
        <c:auto val="1"/>
        <c:lblAlgn val="ctr"/>
        <c:lblOffset val="100"/>
        <c:noMultiLvlLbl val="0"/>
      </c:catAx>
      <c:valAx>
        <c:axId val="583931872"/>
        <c:scaling>
          <c:orientation val="minMax"/>
        </c:scaling>
        <c:delete val="1"/>
        <c:axPos val="l"/>
        <c:numFmt formatCode="General" sourceLinked="1"/>
        <c:majorTickMark val="out"/>
        <c:minorTickMark val="none"/>
        <c:tickLblPos val="nextTo"/>
        <c:crossAx val="583932352"/>
        <c:crosses val="autoZero"/>
        <c:crossBetween val="midCat"/>
      </c:valAx>
      <c:spPr>
        <a:solidFill>
          <a:schemeClr val="accent1">
            <a:lumMod val="50000"/>
          </a:schemeClr>
        </a:solidFill>
        <a:ln>
          <a:noFill/>
        </a:ln>
        <a:effectLst/>
      </c:spPr>
    </c:plotArea>
    <c:plotVisOnly val="1"/>
    <c:dispBlanksAs val="zero"/>
    <c:showDLblsOverMax val="0"/>
    <c:extLst>
      <c:ext xmlns:c16r3="http://schemas.microsoft.com/office/drawing/2017/03/chart" uri="{56B9EC1D-385E-4148-901F-78D8002777C0}">
        <c16r3:dataDisplayOptions16>
          <c16r3:dispNaAsBlank val="1"/>
        </c16r3:dataDisplayOptions16>
      </c:ext>
    </c:extLst>
  </c:chart>
  <c:spPr>
    <a:solidFill>
      <a:schemeClr val="accent1">
        <a:lumMod val="50000"/>
      </a:schemeClr>
    </a:solidFill>
    <a:ln w="9525" cap="flat" cmpd="sng" algn="ctr">
      <a:solidFill>
        <a:schemeClr val="accent1"/>
      </a:solidFill>
      <a:round/>
    </a:ln>
    <a:effectLst/>
  </c:spPr>
  <c:txPr>
    <a:bodyPr/>
    <a:lstStyle/>
    <a:p>
      <a:pPr>
        <a:defRPr/>
      </a:pPr>
      <a:endParaRPr lang="en-US"/>
    </a:p>
  </c:txPr>
  <c:printSettings>
    <c:headerFooter/>
    <c:pageMargins b="0.75" l="0.7" r="0.7" t="0.75" header="0.3" footer="0.3"/>
    <c:pageSetup/>
  </c:printSettings>
  <c:userShapes r:id="rId3"/>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[Book1.xlsx]pivot report!PivotTable5</c:name>
    <c:fmtId val="18"/>
  </c:pivotSource>
  <c:chart>
    <c:autoTitleDeleted val="1"/>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spPr>
          <a:gradFill>
            <a:gsLst>
              <a:gs pos="0">
                <a:schemeClr val="lt1">
                  <a:alpha val="50000"/>
                </a:schemeClr>
              </a:gs>
              <a:gs pos="100000">
                <a:schemeClr val="lt1">
                  <a:alpha val="0"/>
                </a:schemeClr>
              </a:gs>
            </a:gsLst>
            <a:lin ang="5400000" scaled="0"/>
          </a:gradFill>
          <a:ln>
            <a:solidFill>
              <a:schemeClr val="accent1"/>
            </a:solidFill>
          </a:ln>
          <a:effectLst>
            <a:innerShdw dist="38100" dir="16200000">
              <a:schemeClr val="lt1"/>
            </a:innerShdw>
          </a:effectLst>
        </c:spPr>
        <c:marker>
          <c:spPr>
            <a:solidFill>
              <a:schemeClr val="accent1"/>
            </a:solidFill>
            <a:ln w="22225">
              <a:solidFill>
                <a:schemeClr val="lt1"/>
              </a:solidFill>
              <a:round/>
            </a:ln>
            <a:effectLst/>
          </c:spPr>
        </c:marker>
        <c:dLbl>
          <c:idx val="0"/>
          <c:showLegendKey val="0"/>
          <c:showVal val="1"/>
          <c:showCatName val="0"/>
          <c:showSerName val="0"/>
          <c:showPercent val="0"/>
          <c:showBubbleSize val="0"/>
          <c:extLst>
            <c:ext xmlns:c15="http://schemas.microsoft.com/office/drawing/2012/chart" uri="{CE6537A1-D6FC-4f65-9D91-7224C49458BB}"/>
          </c:extLst>
        </c:dLbl>
      </c:pivotFmt>
      <c:pivotFmt>
        <c:idx val="5"/>
        <c:spPr>
          <a:gradFill>
            <a:gsLst>
              <a:gs pos="0">
                <a:schemeClr val="lt1">
                  <a:alpha val="50000"/>
                </a:schemeClr>
              </a:gs>
              <a:gs pos="100000">
                <a:schemeClr val="lt1">
                  <a:alpha val="0"/>
                </a:schemeClr>
              </a:gs>
            </a:gsLst>
            <a:lin ang="5400000" scaled="0"/>
          </a:gradFill>
          <a:ln>
            <a:solidFill>
              <a:schemeClr val="accent1"/>
            </a:solidFill>
          </a:ln>
          <a:effectLst>
            <a:innerShdw dist="38100" dir="16200000">
              <a:schemeClr val="lt1"/>
            </a:inn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6"/>
        <c:spPr>
          <a:gradFill>
            <a:gsLst>
              <a:gs pos="0">
                <a:schemeClr val="lt1">
                  <a:alpha val="50000"/>
                </a:schemeClr>
              </a:gs>
              <a:gs pos="100000">
                <a:schemeClr val="lt1">
                  <a:alpha val="0"/>
                </a:schemeClr>
              </a:gs>
            </a:gsLst>
            <a:lin ang="5400000" scaled="0"/>
          </a:gradFill>
          <a:ln>
            <a:solidFill>
              <a:schemeClr val="accent1"/>
            </a:solidFill>
          </a:ln>
          <a:effectLst>
            <a:innerShdw dist="38100" dir="16200000">
              <a:schemeClr val="lt1"/>
            </a:inn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1.8523684261004956E-2"/>
          <c:y val="3.042165158481797E-3"/>
          <c:w val="0.96007711484599145"/>
          <c:h val="0.95344114689833592"/>
        </c:manualLayout>
      </c:layout>
      <c:areaChart>
        <c:grouping val="standard"/>
        <c:varyColors val="0"/>
        <c:ser>
          <c:idx val="0"/>
          <c:order val="0"/>
          <c:tx>
            <c:strRef>
              <c:f>'pivot report'!$H$5</c:f>
              <c:strCache>
                <c:ptCount val="1"/>
                <c:pt idx="0">
                  <c:v>Total</c:v>
                </c:pt>
              </c:strCache>
            </c:strRef>
          </c:tx>
          <c:spPr>
            <a:gradFill>
              <a:gsLst>
                <a:gs pos="0">
                  <a:schemeClr val="lt1">
                    <a:alpha val="50000"/>
                  </a:schemeClr>
                </a:gs>
                <a:gs pos="100000">
                  <a:schemeClr val="lt1">
                    <a:alpha val="0"/>
                  </a:schemeClr>
                </a:gs>
              </a:gsLst>
              <a:lin ang="5400000" scaled="0"/>
            </a:gradFill>
            <a:ln>
              <a:solidFill>
                <a:schemeClr val="accent1"/>
              </a:solidFill>
            </a:ln>
            <a:effectLst>
              <a:innerShdw dist="38100" dir="16200000">
                <a:schemeClr val="lt1"/>
              </a:innerShdw>
            </a:effectLst>
          </c:spPr>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accent1">
                          <a:lumMod val="60000"/>
                          <a:lumOff val="40000"/>
                        </a:schemeClr>
                      </a:solidFill>
                    </a:ln>
                    <a:effectLst/>
                  </c:spPr>
                </c15:leaderLines>
              </c:ext>
            </c:extLst>
          </c:dLbls>
          <c:cat>
            <c:strRef>
              <c:f>'pivot report'!$G$6:$G$37</c:f>
              <c:strCache>
                <c:ptCount val="31"/>
                <c:pt idx="0">
                  <c:v>1-Jan</c:v>
                </c:pt>
                <c:pt idx="1">
                  <c:v>2-Jan</c:v>
                </c:pt>
                <c:pt idx="2">
                  <c:v>3-Jan</c:v>
                </c:pt>
                <c:pt idx="3">
                  <c:v>4-Jan</c:v>
                </c:pt>
                <c:pt idx="4">
                  <c:v>5-Jan</c:v>
                </c:pt>
                <c:pt idx="5">
                  <c:v>6-Jan</c:v>
                </c:pt>
                <c:pt idx="6">
                  <c:v>7-Jan</c:v>
                </c:pt>
                <c:pt idx="7">
                  <c:v>8-Jan</c:v>
                </c:pt>
                <c:pt idx="8">
                  <c:v>9-Jan</c:v>
                </c:pt>
                <c:pt idx="9">
                  <c:v>10-Jan</c:v>
                </c:pt>
                <c:pt idx="10">
                  <c:v>11-Jan</c:v>
                </c:pt>
                <c:pt idx="11">
                  <c:v>12-Jan</c:v>
                </c:pt>
                <c:pt idx="12">
                  <c:v>13-Jan</c:v>
                </c:pt>
                <c:pt idx="13">
                  <c:v>14-Jan</c:v>
                </c:pt>
                <c:pt idx="14">
                  <c:v>15-Jan</c:v>
                </c:pt>
                <c:pt idx="15">
                  <c:v>16-Jan</c:v>
                </c:pt>
                <c:pt idx="16">
                  <c:v>17-Jan</c:v>
                </c:pt>
                <c:pt idx="17">
                  <c:v>18-Jan</c:v>
                </c:pt>
                <c:pt idx="18">
                  <c:v>19-Jan</c:v>
                </c:pt>
                <c:pt idx="19">
                  <c:v>20-Jan</c:v>
                </c:pt>
                <c:pt idx="20">
                  <c:v>21-Jan</c:v>
                </c:pt>
                <c:pt idx="21">
                  <c:v>22-Jan</c:v>
                </c:pt>
                <c:pt idx="22">
                  <c:v>23-Jan</c:v>
                </c:pt>
                <c:pt idx="23">
                  <c:v>24-Jan</c:v>
                </c:pt>
                <c:pt idx="24">
                  <c:v>25-Jan</c:v>
                </c:pt>
                <c:pt idx="25">
                  <c:v>26-Jan</c:v>
                </c:pt>
                <c:pt idx="26">
                  <c:v>27-Jan</c:v>
                </c:pt>
                <c:pt idx="27">
                  <c:v>28-Jan</c:v>
                </c:pt>
                <c:pt idx="28">
                  <c:v>29-Jan</c:v>
                </c:pt>
                <c:pt idx="29">
                  <c:v>30-Jan</c:v>
                </c:pt>
                <c:pt idx="30">
                  <c:v>31-Jan</c:v>
                </c:pt>
              </c:strCache>
            </c:strRef>
          </c:cat>
          <c:val>
            <c:numRef>
              <c:f>'pivot report'!$H$6:$H$37</c:f>
              <c:numCache>
                <c:formatCode>0.00</c:formatCode>
                <c:ptCount val="31"/>
                <c:pt idx="0">
                  <c:v>37.789473684210527</c:v>
                </c:pt>
                <c:pt idx="1">
                  <c:v>38.214285714285715</c:v>
                </c:pt>
                <c:pt idx="2">
                  <c:v>40.92307692307692</c:v>
                </c:pt>
                <c:pt idx="3">
                  <c:v>34.5</c:v>
                </c:pt>
                <c:pt idx="4">
                  <c:v>30.684210526315791</c:v>
                </c:pt>
                <c:pt idx="5">
                  <c:v>37.666666666666664</c:v>
                </c:pt>
                <c:pt idx="6">
                  <c:v>36.083333333333336</c:v>
                </c:pt>
                <c:pt idx="7">
                  <c:v>43.523809523809526</c:v>
                </c:pt>
                <c:pt idx="8">
                  <c:v>29.5</c:v>
                </c:pt>
                <c:pt idx="9">
                  <c:v>38.07692307692308</c:v>
                </c:pt>
                <c:pt idx="10">
                  <c:v>35.846153846153847</c:v>
                </c:pt>
                <c:pt idx="11">
                  <c:v>32.625</c:v>
                </c:pt>
                <c:pt idx="12">
                  <c:v>39.200000000000003</c:v>
                </c:pt>
                <c:pt idx="13">
                  <c:v>35.28</c:v>
                </c:pt>
                <c:pt idx="14">
                  <c:v>32.549999999999997</c:v>
                </c:pt>
                <c:pt idx="15">
                  <c:v>35.642857142857146</c:v>
                </c:pt>
                <c:pt idx="16">
                  <c:v>38.764705882352942</c:v>
                </c:pt>
                <c:pt idx="17">
                  <c:v>39.9</c:v>
                </c:pt>
                <c:pt idx="18">
                  <c:v>41.6</c:v>
                </c:pt>
                <c:pt idx="19">
                  <c:v>39.470588235294116</c:v>
                </c:pt>
                <c:pt idx="20">
                  <c:v>27.733333333333334</c:v>
                </c:pt>
                <c:pt idx="21">
                  <c:v>36.875</c:v>
                </c:pt>
                <c:pt idx="22">
                  <c:v>40.333333333333336</c:v>
                </c:pt>
                <c:pt idx="23">
                  <c:v>36.5</c:v>
                </c:pt>
                <c:pt idx="24">
                  <c:v>32.866666666666667</c:v>
                </c:pt>
                <c:pt idx="25">
                  <c:v>36.642857142857146</c:v>
                </c:pt>
                <c:pt idx="26">
                  <c:v>36.5625</c:v>
                </c:pt>
                <c:pt idx="27">
                  <c:v>32.15</c:v>
                </c:pt>
                <c:pt idx="28">
                  <c:v>38.368421052631582</c:v>
                </c:pt>
                <c:pt idx="29">
                  <c:v>33.071428571428569</c:v>
                </c:pt>
                <c:pt idx="30">
                  <c:v>36.444444444444443</c:v>
                </c:pt>
              </c:numCache>
            </c:numRef>
          </c:val>
          <c:extLst>
            <c:ext xmlns:c16="http://schemas.microsoft.com/office/drawing/2014/chart" uri="{C3380CC4-5D6E-409C-BE32-E72D297353CC}">
              <c16:uniqueId val="{00000001-ADA4-46E2-AAE5-30FAD7A8158E}"/>
            </c:ext>
          </c:extLst>
        </c:ser>
        <c:dLbls>
          <c:showLegendKey val="0"/>
          <c:showVal val="1"/>
          <c:showCatName val="0"/>
          <c:showSerName val="0"/>
          <c:showPercent val="0"/>
          <c:showBubbleSize val="0"/>
        </c:dLbls>
        <c:dropLines>
          <c:spPr>
            <a:ln w="9525" cap="flat" cmpd="sng" algn="ctr">
              <a:gradFill>
                <a:gsLst>
                  <a:gs pos="0">
                    <a:schemeClr val="lt1"/>
                  </a:gs>
                  <a:gs pos="50000">
                    <a:schemeClr val="lt1">
                      <a:alpha val="0"/>
                    </a:schemeClr>
                  </a:gs>
                </a:gsLst>
                <a:lin ang="5400000" scaled="0"/>
              </a:gradFill>
              <a:round/>
            </a:ln>
            <a:effectLst/>
          </c:spPr>
        </c:dropLines>
        <c:axId val="580870032"/>
        <c:axId val="580857552"/>
      </c:areaChart>
      <c:catAx>
        <c:axId val="580870032"/>
        <c:scaling>
          <c:orientation val="minMax"/>
        </c:scaling>
        <c:delete val="0"/>
        <c:axPos val="b"/>
        <c:numFmt formatCode="General" sourceLinked="1"/>
        <c:majorTickMark val="none"/>
        <c:minorTickMark val="none"/>
        <c:tickLblPos val="nextTo"/>
        <c:spPr>
          <a:noFill/>
          <a:ln w="9525" cap="flat" cmpd="sng" algn="ctr">
            <a:solidFill>
              <a:schemeClr val="accent1">
                <a:lumMod val="40000"/>
                <a:lumOff val="60000"/>
                <a:alpha val="25000"/>
              </a:schemeClr>
            </a:solidFill>
            <a:round/>
          </a:ln>
          <a:effectLst/>
        </c:spPr>
        <c:txPr>
          <a:bodyPr rot="-60000000" spcFirstLastPara="1" vertOverflow="ellipsis" vert="horz" wrap="square" anchor="ctr" anchorCtr="1"/>
          <a:lstStyle/>
          <a:p>
            <a:pPr>
              <a:defRPr sz="900" b="1" i="0" u="none" strike="noStrike" kern="1200" baseline="0">
                <a:solidFill>
                  <a:schemeClr val="lt1"/>
                </a:solidFill>
                <a:latin typeface="+mn-lt"/>
                <a:ea typeface="+mn-ea"/>
                <a:cs typeface="+mn-cs"/>
              </a:defRPr>
            </a:pPr>
            <a:endParaRPr lang="en-US"/>
          </a:p>
        </c:txPr>
        <c:crossAx val="580857552"/>
        <c:crosses val="autoZero"/>
        <c:auto val="1"/>
        <c:lblAlgn val="ctr"/>
        <c:lblOffset val="100"/>
        <c:noMultiLvlLbl val="0"/>
      </c:catAx>
      <c:valAx>
        <c:axId val="580857552"/>
        <c:scaling>
          <c:orientation val="minMax"/>
        </c:scaling>
        <c:delete val="1"/>
        <c:axPos val="l"/>
        <c:numFmt formatCode="0.00" sourceLinked="1"/>
        <c:majorTickMark val="out"/>
        <c:minorTickMark val="none"/>
        <c:tickLblPos val="nextTo"/>
        <c:crossAx val="580870032"/>
        <c:crosses val="autoZero"/>
        <c:crossBetween val="midCat"/>
      </c:valAx>
      <c:spPr>
        <a:solidFill>
          <a:schemeClr val="accent1">
            <a:lumMod val="50000"/>
          </a:schemeClr>
        </a:solidFill>
        <a:ln>
          <a:noFill/>
        </a:ln>
        <a:effectLst/>
      </c:spPr>
    </c:plotArea>
    <c:plotVisOnly val="1"/>
    <c:dispBlanksAs val="zero"/>
    <c:showDLblsOverMax val="0"/>
    <c:extLst>
      <c:ext xmlns:c16r3="http://schemas.microsoft.com/office/drawing/2017/03/chart" uri="{56B9EC1D-385E-4148-901F-78D8002777C0}">
        <c16r3:dataDisplayOptions16>
          <c16r3:dispNaAsBlank val="1"/>
        </c16r3:dataDisplayOptions16>
      </c:ext>
    </c:extLst>
  </c:chart>
  <c:spPr>
    <a:solidFill>
      <a:schemeClr val="accent1">
        <a:lumMod val="50000"/>
      </a:schemeClr>
    </a:solidFill>
    <a:ln w="9525" cap="flat" cmpd="sng" algn="ctr">
      <a:solidFill>
        <a:schemeClr val="accent1"/>
      </a:solidFill>
      <a:round/>
    </a:ln>
    <a:effectLst/>
  </c:spPr>
  <c:txPr>
    <a:bodyPr/>
    <a:lstStyle/>
    <a:p>
      <a:pPr>
        <a:defRPr/>
      </a:pPr>
      <a:endParaRPr lang="en-US"/>
    </a:p>
  </c:txPr>
  <c:printSettings>
    <c:headerFooter/>
    <c:pageMargins b="0.75" l="0.7" r="0.7" t="0.75" header="0.3" footer="0.3"/>
    <c:pageSetup/>
  </c:printSettings>
  <c:userShapes r:id="rId3"/>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[Book1.xlsx]pivot report!PivotTable6</c:name>
    <c:fmtId val="28"/>
  </c:pivotSource>
  <c:chart>
    <c:autoTitleDeleted val="1"/>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spPr>
          <a:gradFill>
            <a:gsLst>
              <a:gs pos="0">
                <a:schemeClr val="lt1">
                  <a:alpha val="50000"/>
                </a:schemeClr>
              </a:gs>
              <a:gs pos="100000">
                <a:schemeClr val="lt1">
                  <a:alpha val="0"/>
                </a:schemeClr>
              </a:gs>
            </a:gsLst>
            <a:lin ang="5400000" scaled="0"/>
          </a:gradFill>
          <a:ln>
            <a:solidFill>
              <a:schemeClr val="accent1"/>
            </a:solidFill>
          </a:ln>
          <a:effectLst>
            <a:innerShdw dist="38100" dir="16200000">
              <a:schemeClr val="lt1"/>
            </a:inn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1.9444444444444445E-2"/>
          <c:y val="8.1296885723782852E-2"/>
          <c:w val="0.98055591186884838"/>
          <c:h val="0.86777897080380995"/>
        </c:manualLayout>
      </c:layout>
      <c:areaChart>
        <c:grouping val="standard"/>
        <c:varyColors val="0"/>
        <c:ser>
          <c:idx val="0"/>
          <c:order val="0"/>
          <c:tx>
            <c:strRef>
              <c:f>'pivot report'!$L$6</c:f>
              <c:strCache>
                <c:ptCount val="1"/>
                <c:pt idx="0">
                  <c:v>Total</c:v>
                </c:pt>
              </c:strCache>
            </c:strRef>
          </c:tx>
          <c:spPr>
            <a:gradFill>
              <a:gsLst>
                <a:gs pos="0">
                  <a:schemeClr val="lt1">
                    <a:alpha val="50000"/>
                  </a:schemeClr>
                </a:gs>
                <a:gs pos="100000">
                  <a:schemeClr val="lt1">
                    <a:alpha val="0"/>
                  </a:schemeClr>
                </a:gs>
              </a:gsLst>
              <a:lin ang="5400000" scaled="0"/>
            </a:gradFill>
            <a:ln>
              <a:solidFill>
                <a:schemeClr val="accent1"/>
              </a:solidFill>
            </a:ln>
            <a:effectLst>
              <a:innerShdw dist="38100" dir="16200000">
                <a:schemeClr val="lt1"/>
              </a:innerShdw>
            </a:effectLst>
          </c:spPr>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accent1">
                          <a:lumMod val="60000"/>
                          <a:lumOff val="40000"/>
                        </a:schemeClr>
                      </a:solidFill>
                    </a:ln>
                    <a:effectLst/>
                  </c:spPr>
                </c15:leaderLines>
              </c:ext>
            </c:extLst>
          </c:dLbls>
          <c:cat>
            <c:strRef>
              <c:f>'pivot report'!$K$7:$K$38</c:f>
              <c:strCache>
                <c:ptCount val="31"/>
                <c:pt idx="0">
                  <c:v>1-Jan</c:v>
                </c:pt>
                <c:pt idx="1">
                  <c:v>2-Jan</c:v>
                </c:pt>
                <c:pt idx="2">
                  <c:v>3-Jan</c:v>
                </c:pt>
                <c:pt idx="3">
                  <c:v>4-Jan</c:v>
                </c:pt>
                <c:pt idx="4">
                  <c:v>5-Jan</c:v>
                </c:pt>
                <c:pt idx="5">
                  <c:v>6-Jan</c:v>
                </c:pt>
                <c:pt idx="6">
                  <c:v>7-Jan</c:v>
                </c:pt>
                <c:pt idx="7">
                  <c:v>8-Jan</c:v>
                </c:pt>
                <c:pt idx="8">
                  <c:v>9-Jan</c:v>
                </c:pt>
                <c:pt idx="9">
                  <c:v>10-Jan</c:v>
                </c:pt>
                <c:pt idx="10">
                  <c:v>11-Jan</c:v>
                </c:pt>
                <c:pt idx="11">
                  <c:v>12-Jan</c:v>
                </c:pt>
                <c:pt idx="12">
                  <c:v>13-Jan</c:v>
                </c:pt>
                <c:pt idx="13">
                  <c:v>14-Jan</c:v>
                </c:pt>
                <c:pt idx="14">
                  <c:v>15-Jan</c:v>
                </c:pt>
                <c:pt idx="15">
                  <c:v>16-Jan</c:v>
                </c:pt>
                <c:pt idx="16">
                  <c:v>17-Jan</c:v>
                </c:pt>
                <c:pt idx="17">
                  <c:v>18-Jan</c:v>
                </c:pt>
                <c:pt idx="18">
                  <c:v>19-Jan</c:v>
                </c:pt>
                <c:pt idx="19">
                  <c:v>20-Jan</c:v>
                </c:pt>
                <c:pt idx="20">
                  <c:v>21-Jan</c:v>
                </c:pt>
                <c:pt idx="21">
                  <c:v>22-Jan</c:v>
                </c:pt>
                <c:pt idx="22">
                  <c:v>23-Jan</c:v>
                </c:pt>
                <c:pt idx="23">
                  <c:v>24-Jan</c:v>
                </c:pt>
                <c:pt idx="24">
                  <c:v>25-Jan</c:v>
                </c:pt>
                <c:pt idx="25">
                  <c:v>26-Jan</c:v>
                </c:pt>
                <c:pt idx="26">
                  <c:v>27-Jan</c:v>
                </c:pt>
                <c:pt idx="27">
                  <c:v>28-Jan</c:v>
                </c:pt>
                <c:pt idx="28">
                  <c:v>29-Jan</c:v>
                </c:pt>
                <c:pt idx="29">
                  <c:v>30-Jan</c:v>
                </c:pt>
                <c:pt idx="30">
                  <c:v>31-Jan</c:v>
                </c:pt>
              </c:strCache>
            </c:strRef>
          </c:cat>
          <c:val>
            <c:numRef>
              <c:f>'pivot report'!$L$7:$L$38</c:f>
              <c:numCache>
                <c:formatCode>0.00</c:formatCode>
                <c:ptCount val="31"/>
                <c:pt idx="0">
                  <c:v>6.666666666666667</c:v>
                </c:pt>
                <c:pt idx="1">
                  <c:v>3.5</c:v>
                </c:pt>
                <c:pt idx="2">
                  <c:v>4.5</c:v>
                </c:pt>
                <c:pt idx="3">
                  <c:v>4.8</c:v>
                </c:pt>
                <c:pt idx="4">
                  <c:v>7.75</c:v>
                </c:pt>
                <c:pt idx="5">
                  <c:v>6.2</c:v>
                </c:pt>
                <c:pt idx="6">
                  <c:v>3.75</c:v>
                </c:pt>
                <c:pt idx="7">
                  <c:v>6.5</c:v>
                </c:pt>
                <c:pt idx="8">
                  <c:v>3</c:v>
                </c:pt>
                <c:pt idx="9">
                  <c:v>4.5</c:v>
                </c:pt>
                <c:pt idx="10">
                  <c:v>6</c:v>
                </c:pt>
                <c:pt idx="11">
                  <c:v>5.2</c:v>
                </c:pt>
                <c:pt idx="12">
                  <c:v>4.4000000000000004</c:v>
                </c:pt>
                <c:pt idx="13">
                  <c:v>3.4545454545454546</c:v>
                </c:pt>
                <c:pt idx="14">
                  <c:v>4.4000000000000004</c:v>
                </c:pt>
                <c:pt idx="15">
                  <c:v>5.833333333333333</c:v>
                </c:pt>
                <c:pt idx="16">
                  <c:v>4.4444444444444446</c:v>
                </c:pt>
                <c:pt idx="17">
                  <c:v>5.333333333333333</c:v>
                </c:pt>
                <c:pt idx="18">
                  <c:v>5.333333333333333</c:v>
                </c:pt>
                <c:pt idx="19">
                  <c:v>5.5714285714285712</c:v>
                </c:pt>
                <c:pt idx="20">
                  <c:v>5</c:v>
                </c:pt>
                <c:pt idx="21">
                  <c:v>6.4</c:v>
                </c:pt>
                <c:pt idx="22">
                  <c:v>5.333333333333333</c:v>
                </c:pt>
                <c:pt idx="23">
                  <c:v>3.75</c:v>
                </c:pt>
                <c:pt idx="24">
                  <c:v>6.333333333333333</c:v>
                </c:pt>
                <c:pt idx="25">
                  <c:v>10</c:v>
                </c:pt>
                <c:pt idx="26">
                  <c:v>5</c:v>
                </c:pt>
                <c:pt idx="27">
                  <c:v>5.333333333333333</c:v>
                </c:pt>
                <c:pt idx="28">
                  <c:v>4.8</c:v>
                </c:pt>
                <c:pt idx="29">
                  <c:v>5</c:v>
                </c:pt>
                <c:pt idx="30">
                  <c:v>1.4</c:v>
                </c:pt>
              </c:numCache>
            </c:numRef>
          </c:val>
          <c:extLst>
            <c:ext xmlns:c16="http://schemas.microsoft.com/office/drawing/2014/chart" uri="{C3380CC4-5D6E-409C-BE32-E72D297353CC}">
              <c16:uniqueId val="{00000001-13B9-410A-BBD6-D49A56F891FC}"/>
            </c:ext>
          </c:extLst>
        </c:ser>
        <c:dLbls>
          <c:showLegendKey val="0"/>
          <c:showVal val="1"/>
          <c:showCatName val="0"/>
          <c:showSerName val="0"/>
          <c:showPercent val="0"/>
          <c:showBubbleSize val="0"/>
        </c:dLbls>
        <c:dropLines>
          <c:spPr>
            <a:ln w="9525" cap="flat" cmpd="sng" algn="ctr">
              <a:gradFill>
                <a:gsLst>
                  <a:gs pos="0">
                    <a:schemeClr val="lt1"/>
                  </a:gs>
                  <a:gs pos="50000">
                    <a:schemeClr val="lt1">
                      <a:alpha val="0"/>
                    </a:schemeClr>
                  </a:gs>
                </a:gsLst>
                <a:lin ang="5400000" scaled="0"/>
              </a:gradFill>
              <a:round/>
            </a:ln>
            <a:effectLst/>
          </c:spPr>
        </c:dropLines>
        <c:axId val="806558896"/>
        <c:axId val="806556976"/>
      </c:areaChart>
      <c:catAx>
        <c:axId val="806558896"/>
        <c:scaling>
          <c:orientation val="minMax"/>
        </c:scaling>
        <c:delete val="0"/>
        <c:axPos val="b"/>
        <c:numFmt formatCode="General" sourceLinked="1"/>
        <c:majorTickMark val="none"/>
        <c:minorTickMark val="none"/>
        <c:tickLblPos val="nextTo"/>
        <c:spPr>
          <a:noFill/>
          <a:ln w="9525" cap="flat" cmpd="sng" algn="ctr">
            <a:solidFill>
              <a:schemeClr val="accent1">
                <a:lumMod val="40000"/>
                <a:lumOff val="60000"/>
                <a:alpha val="25000"/>
              </a:schemeClr>
            </a:solidFill>
            <a:round/>
          </a:ln>
          <a:effectLst/>
        </c:spPr>
        <c:txPr>
          <a:bodyPr rot="-60000000" spcFirstLastPara="1" vertOverflow="ellipsis" vert="horz" wrap="square" anchor="ctr" anchorCtr="1"/>
          <a:lstStyle/>
          <a:p>
            <a:pPr>
              <a:defRPr sz="900" b="0" i="0" u="none" strike="noStrike" kern="1200" baseline="0">
                <a:solidFill>
                  <a:schemeClr val="lt1"/>
                </a:solidFill>
                <a:latin typeface="+mn-lt"/>
                <a:ea typeface="+mn-ea"/>
                <a:cs typeface="+mn-cs"/>
              </a:defRPr>
            </a:pPr>
            <a:endParaRPr lang="en-US"/>
          </a:p>
        </c:txPr>
        <c:crossAx val="806556976"/>
        <c:crosses val="autoZero"/>
        <c:auto val="1"/>
        <c:lblAlgn val="ctr"/>
        <c:lblOffset val="100"/>
        <c:noMultiLvlLbl val="0"/>
      </c:catAx>
      <c:valAx>
        <c:axId val="806556976"/>
        <c:scaling>
          <c:orientation val="minMax"/>
        </c:scaling>
        <c:delete val="1"/>
        <c:axPos val="l"/>
        <c:numFmt formatCode="0.00" sourceLinked="1"/>
        <c:majorTickMark val="out"/>
        <c:minorTickMark val="none"/>
        <c:tickLblPos val="nextTo"/>
        <c:crossAx val="806558896"/>
        <c:crosses val="autoZero"/>
        <c:crossBetween val="midCat"/>
      </c:valAx>
      <c:spPr>
        <a:solidFill>
          <a:schemeClr val="accent1">
            <a:lumMod val="50000"/>
          </a:schemeClr>
        </a:solidFill>
        <a:ln>
          <a:noFill/>
        </a:ln>
        <a:effectLst/>
      </c:spPr>
    </c:plotArea>
    <c:plotVisOnly val="1"/>
    <c:dispBlanksAs val="zero"/>
    <c:showDLblsOverMax val="0"/>
    <c:extLst>
      <c:ext xmlns:c16r3="http://schemas.microsoft.com/office/drawing/2017/03/chart" uri="{56B9EC1D-385E-4148-901F-78D8002777C0}">
        <c16r3:dataDisplayOptions16>
          <c16r3:dispNaAsBlank val="1"/>
        </c16r3:dataDisplayOptions16>
      </c:ext>
    </c:extLst>
  </c:chart>
  <c:spPr>
    <a:solidFill>
      <a:schemeClr val="accent1">
        <a:lumMod val="50000"/>
      </a:schemeClr>
    </a:solidFill>
    <a:ln w="9525" cap="flat" cmpd="sng" algn="ctr">
      <a:solidFill>
        <a:schemeClr val="accent1"/>
      </a:solidFill>
      <a:round/>
    </a:ln>
    <a:effectLst/>
  </c:spPr>
  <c:txPr>
    <a:bodyPr/>
    <a:lstStyle/>
    <a:p>
      <a:pPr>
        <a:defRPr/>
      </a:pPr>
      <a:endParaRPr lang="en-US"/>
    </a:p>
  </c:txPr>
  <c:printSettings>
    <c:headerFooter/>
    <c:pageMargins b="0.75" l="0.7" r="0.7" t="0.75" header="0.3" footer="0.3"/>
    <c:pageSetup/>
  </c:printSettings>
  <c:userShapes r:id="rId3"/>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7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ln w="9525" cap="flat" cmpd="sng" algn="ctr">
        <a:solidFill>
          <a:schemeClr val="tx1">
            <a:lumMod val="15000"/>
            <a:lumOff val="85000"/>
          </a:schemeClr>
        </a:solidFill>
        <a:round/>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7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ln w="9525" cap="flat" cmpd="sng" algn="ctr">
        <a:solidFill>
          <a:schemeClr val="tx1">
            <a:lumMod val="15000"/>
            <a:lumOff val="85000"/>
          </a:schemeClr>
        </a:solidFill>
        <a:round/>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7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ln w="9525" cap="flat" cmpd="sng" algn="ctr">
        <a:solidFill>
          <a:schemeClr val="tx1">
            <a:lumMod val="15000"/>
            <a:lumOff val="85000"/>
          </a:schemeClr>
        </a:solidFill>
        <a:round/>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61">
  <cs:axisTitle>
    <cs:lnRef idx="0"/>
    <cs:fillRef idx="0"/>
    <cs:effectRef idx="0"/>
    <cs:fontRef idx="minor">
      <a:schemeClr val="dk1">
        <a:lumMod val="65000"/>
        <a:lumOff val="35000"/>
      </a:schemeClr>
    </cs:fontRef>
    <cs:defRPr sz="900" kern="1200"/>
  </cs:axisTitle>
  <cs:categoryAxis>
    <cs:lnRef idx="0"/>
    <cs:fillRef idx="0"/>
    <cs:effectRef idx="0"/>
    <cs:fontRef idx="minor">
      <a:schemeClr val="dk1">
        <a:lumMod val="65000"/>
        <a:lumOff val="35000"/>
      </a:schemeClr>
    </cs:fontRef>
    <cs:defRPr sz="900" kern="1200"/>
  </cs:categoryAxis>
  <cs:chartArea>
    <cs:lnRef idx="0"/>
    <cs:fillRef idx="0"/>
    <cs:effectRef idx="0"/>
    <cs:fontRef idx="minor">
      <a:schemeClr val="dk1"/>
    </cs:fontRef>
    <cs:spPr>
      <a:pattFill prst="dkDnDiag">
        <a:fgClr>
          <a:schemeClr val="lt1">
            <a:lumMod val="95000"/>
          </a:schemeClr>
        </a:fgClr>
        <a:bgClr>
          <a:schemeClr val="lt1"/>
        </a:bgClr>
      </a:pattFill>
      <a:ln w="9525" cap="flat" cmpd="sng" algn="ctr">
        <a:solidFill>
          <a:schemeClr val="dk1">
            <a:lumMod val="15000"/>
            <a:lumOff val="8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dk1">
        <a:lumMod val="65000"/>
        <a:lumOff val="35000"/>
      </a:schemeClr>
    </cs:fontRef>
    <cs:spPr>
      <a:solidFill>
        <a:schemeClr val="lt1">
          <a:alpha val="75000"/>
        </a:schemeClr>
      </a:solidFill>
      <a:ln w="9525">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317500" algn="ctr" rotWithShape="0">
          <a:prstClr val="black">
            <a:alpha val="25000"/>
          </a:prstClr>
        </a:outerShdw>
      </a:effectLst>
    </cs:spPr>
  </cs:dataPoint>
  <cs:dataPoint3D>
    <cs:lnRef idx="0"/>
    <cs:fillRef idx="0">
      <cs:styleClr val="auto"/>
    </cs:fillRef>
    <cs:effectRef idx="0"/>
    <cs:fontRef idx="minor">
      <a:schemeClr val="dk1"/>
    </cs:fontRef>
    <cs:spPr>
      <a:solidFill>
        <a:schemeClr val="phClr"/>
      </a:solidFill>
      <a:effectLst>
        <a:outerShdw blurRad="88900" sx="102000" sy="102000" algn="ctr" rotWithShape="0">
          <a:prstClr val="black">
            <a:alpha val="20000"/>
          </a:prstClr>
        </a:outerShdw>
      </a:effectLst>
      <a:scene3d>
        <a:camera prst="orthographicFront"/>
        <a:lightRig rig="threePt" dir="t"/>
      </a:scene3d>
      <a:sp3d prstMaterial="matte"/>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fillRef idx="0">
      <cs:styleClr val="auto"/>
    </cs:fillRef>
    <cs:effectRef idx="0"/>
    <cs:fontRef idx="minor">
      <a:schemeClr val="dk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65000"/>
        <a:lumOff val="35000"/>
      </a:schemeClr>
    </cs:fontRef>
    <cs:spPr>
      <a:noFill/>
      <a:ln w="9525" cap="flat" cmpd="sng" algn="ctr">
        <a:solidFill>
          <a:schemeClr val="dk1">
            <a:lumMod val="15000"/>
            <a:lumOff val="85000"/>
          </a:schemeClr>
        </a:solidFill>
        <a:round/>
      </a:ln>
    </cs:spPr>
    <cs:defRPr sz="900" kern="1200"/>
  </cs:dataTable>
  <cs:downBar>
    <cs:lnRef idx="0"/>
    <cs:fillRef idx="0"/>
    <cs:effectRef idx="0"/>
    <cs:fontRef idx="minor">
      <a:schemeClr val="dk1"/>
    </cs:fontRef>
    <cs:spPr>
      <a:solidFill>
        <a:schemeClr val="dk1">
          <a:lumMod val="75000"/>
          <a:lumOff val="25000"/>
        </a:schemeClr>
      </a:solidFill>
      <a:ln w="9525" cap="flat" cmpd="sng" algn="ctr">
        <a:solidFill>
          <a:schemeClr val="dk1">
            <a:lumMod val="65000"/>
            <a:lumOff val="35000"/>
          </a:schemeClr>
        </a:solidFill>
        <a:round/>
      </a:ln>
    </cs:spPr>
  </cs:downBar>
  <cs:dropLine>
    <cs:lnRef idx="0"/>
    <cs:fillRef idx="0"/>
    <cs:effectRef idx="0"/>
    <cs:fontRef idx="minor">
      <a:schemeClr val="dk1"/>
    </cs:fontRef>
    <cs:spPr>
      <a:ln w="9525" cap="flat" cmpd="sng" algn="ctr">
        <a:solidFill>
          <a:schemeClr val="dk1">
            <a:lumMod val="35000"/>
            <a:lumOff val="65000"/>
          </a:schemeClr>
        </a:solidFill>
        <a:round/>
      </a:ln>
    </cs:spPr>
  </cs:dropLine>
  <cs:errorBar>
    <cs:lnRef idx="0"/>
    <cs:fillRef idx="0"/>
    <cs:effectRef idx="0"/>
    <cs:fontRef idx="minor">
      <a:schemeClr val="dk1"/>
    </cs:fontRef>
    <cs:spPr>
      <a:ln w="9525" cap="flat" cmpd="sng" algn="ctr">
        <a:solidFill>
          <a:schemeClr val="dk1">
            <a:lumMod val="65000"/>
            <a:lumOff val="35000"/>
          </a:schemeClr>
        </a:solidFill>
        <a:round/>
      </a:ln>
    </cs:spPr>
  </cs:errorBar>
  <cs:floor>
    <cs:lnRef idx="0"/>
    <cs:fillRef idx="0"/>
    <cs:effectRef idx="0"/>
    <cs:fontRef idx="minor">
      <a:schemeClr val="dk1"/>
    </cs:fontRef>
    <cs:spPr>
      <a:noFill/>
      <a:ln>
        <a:noFill/>
      </a:ln>
    </cs:spPr>
  </cs:floor>
  <cs:gridlineMajor>
    <cs:lnRef idx="0"/>
    <cs:fillRef idx="0"/>
    <cs:effectRef idx="0"/>
    <cs:fontRef idx="minor">
      <a:schemeClr val="dk1"/>
    </cs:fontRef>
    <cs:spPr>
      <a:ln w="9525" cap="flat" cmpd="sng" algn="ctr">
        <a:solidFill>
          <a:schemeClr val="dk1">
            <a:lumMod val="15000"/>
            <a:lumOff val="85000"/>
          </a:schemeClr>
        </a:solidFill>
        <a:round/>
      </a:ln>
    </cs:spPr>
  </cs:gridlineMajor>
  <cs:gridlineMinor>
    <cs:lnRef idx="0"/>
    <cs:fillRef idx="0"/>
    <cs:effectRef idx="0"/>
    <cs:fontRef idx="minor">
      <a:schemeClr val="dk1"/>
    </cs:fontRef>
    <cs:spPr>
      <a:ln w="9525" cap="flat" cmpd="sng" algn="ctr">
        <a:solidFill>
          <a:schemeClr val="dk1">
            <a:lumMod val="5000"/>
            <a:lumOff val="95000"/>
          </a:schemeClr>
        </a:solidFill>
        <a:round/>
      </a:ln>
    </cs:spPr>
  </cs:gridlineMinor>
  <cs:hiLoLine>
    <cs:lnRef idx="0"/>
    <cs:fillRef idx="0"/>
    <cs:effectRef idx="0"/>
    <cs:fontRef idx="minor">
      <a:schemeClr val="dk1"/>
    </cs:fontRef>
    <cs:spPr>
      <a:ln w="9525" cap="flat" cmpd="sng" algn="ctr">
        <a:solidFill>
          <a:schemeClr val="dk1">
            <a:lumMod val="50000"/>
            <a:lumOff val="50000"/>
          </a:schemeClr>
        </a:solidFill>
        <a:round/>
      </a:ln>
    </cs:spPr>
  </cs:hiLoLine>
  <cs:leaderLine>
    <cs:lnRef idx="0"/>
    <cs:fillRef idx="0"/>
    <cs:effectRef idx="0"/>
    <cs:fontRef idx="minor">
      <a:schemeClr val="dk1"/>
    </cs:fontRef>
    <cs:spPr>
      <a:ln w="9525" cap="flat" cmpd="sng" algn="ctr">
        <a:solidFill>
          <a:schemeClr val="dk1">
            <a:lumMod val="35000"/>
            <a:lumOff val="65000"/>
          </a:schemeClr>
        </a:solidFill>
        <a:round/>
      </a:ln>
    </cs:spPr>
  </cs:leaderLine>
  <cs:legend>
    <cs:lnRef idx="0"/>
    <cs:fillRef idx="0"/>
    <cs:effectRef idx="0"/>
    <cs:fontRef idx="minor">
      <a:schemeClr val="dk1">
        <a:lumMod val="65000"/>
        <a:lumOff val="35000"/>
      </a:schemeClr>
    </cs:fontRef>
    <cs:spPr>
      <a:solidFill>
        <a:schemeClr val="lt1">
          <a:alpha val="78000"/>
        </a:schemeClr>
      </a:solidFill>
    </cs:spPr>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dk1">
        <a:lumMod val="65000"/>
        <a:lumOff val="35000"/>
      </a:schemeClr>
    </cs:fontRef>
    <cs:defRPr sz="900" kern="1200"/>
  </cs:seriesAxis>
  <cs:seriesLine>
    <cs:lnRef idx="0"/>
    <cs:fillRef idx="0"/>
    <cs:effectRef idx="0"/>
    <cs:fontRef idx="minor">
      <a:schemeClr val="dk1"/>
    </cs:fontRef>
    <cs:spPr>
      <a:ln w="9525" cap="flat" cmpd="sng" algn="ctr">
        <a:solidFill>
          <a:schemeClr val="dk1">
            <a:lumMod val="35000"/>
            <a:lumOff val="65000"/>
          </a:schemeClr>
        </a:solidFill>
        <a:round/>
      </a:ln>
    </cs:spPr>
  </cs:seriesLine>
  <cs:title>
    <cs:lnRef idx="0"/>
    <cs:fillRef idx="0"/>
    <cs:effectRef idx="0"/>
    <cs:fontRef idx="minor">
      <a:schemeClr val="dk1">
        <a:lumMod val="65000"/>
        <a:lumOff val="35000"/>
      </a:schemeClr>
    </cs:fontRef>
    <cs:defRPr sz="1800" b="1" kern="1200" baseline="0"/>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dk1">
        <a:lumMod val="65000"/>
        <a:lumOff val="35000"/>
      </a:schemeClr>
    </cs:fontRef>
    <cs:defRPr sz="900" kern="1200"/>
  </cs:trendlineLabel>
  <cs:upBar>
    <cs:lnRef idx="0"/>
    <cs:fillRef idx="0"/>
    <cs:effectRef idx="0"/>
    <cs:fontRef idx="minor">
      <a:schemeClr val="dk1"/>
    </cs:fontRef>
    <cs:spPr>
      <a:solidFill>
        <a:schemeClr val="lt1"/>
      </a:solidFill>
      <a:ln w="9525" cap="flat" cmpd="sng" algn="ctr">
        <a:solidFill>
          <a:schemeClr val="dk1">
            <a:lumMod val="65000"/>
            <a:lumOff val="35000"/>
          </a:schemeClr>
        </a:solidFill>
        <a:round/>
      </a:ln>
    </cs:spPr>
  </cs:upBar>
  <cs:valueAxis>
    <cs:lnRef idx="0"/>
    <cs:fillRef idx="0"/>
    <cs:effectRef idx="0"/>
    <cs:fontRef idx="minor">
      <a:schemeClr val="dk1">
        <a:lumMod val="65000"/>
        <a:lumOff val="35000"/>
      </a:schemeClr>
    </cs:fontRef>
    <cs:defRPr sz="900" kern="1200"/>
  </cs:valueAxis>
  <cs:wall>
    <cs:lnRef idx="0"/>
    <cs:fillRef idx="0"/>
    <cs:effectRef idx="0"/>
    <cs:fontRef idx="minor">
      <a:schemeClr val="dk1"/>
    </cs:fontRef>
  </cs:wall>
</cs:chartStyle>
</file>

<file path=xl/charts/style7.xml><?xml version="1.0" encoding="utf-8"?>
<cs:chartStyle xmlns:cs="http://schemas.microsoft.com/office/drawing/2012/chartStyle" xmlns:a="http://schemas.openxmlformats.org/drawingml/2006/main" id="261">
  <cs:axisTitle>
    <cs:lnRef idx="0"/>
    <cs:fillRef idx="0"/>
    <cs:effectRef idx="0"/>
    <cs:fontRef idx="minor">
      <a:schemeClr val="dk1">
        <a:lumMod val="65000"/>
        <a:lumOff val="35000"/>
      </a:schemeClr>
    </cs:fontRef>
    <cs:defRPr sz="900" kern="1200"/>
  </cs:axisTitle>
  <cs:categoryAxis>
    <cs:lnRef idx="0"/>
    <cs:fillRef idx="0"/>
    <cs:effectRef idx="0"/>
    <cs:fontRef idx="minor">
      <a:schemeClr val="dk1">
        <a:lumMod val="65000"/>
        <a:lumOff val="35000"/>
      </a:schemeClr>
    </cs:fontRef>
    <cs:defRPr sz="900" kern="1200"/>
  </cs:categoryAxis>
  <cs:chartArea>
    <cs:lnRef idx="0"/>
    <cs:fillRef idx="0"/>
    <cs:effectRef idx="0"/>
    <cs:fontRef idx="minor">
      <a:schemeClr val="dk1"/>
    </cs:fontRef>
    <cs:spPr>
      <a:pattFill prst="dkDnDiag">
        <a:fgClr>
          <a:schemeClr val="lt1">
            <a:lumMod val="95000"/>
          </a:schemeClr>
        </a:fgClr>
        <a:bgClr>
          <a:schemeClr val="lt1"/>
        </a:bgClr>
      </a:pattFill>
      <a:ln w="9525" cap="flat" cmpd="sng" algn="ctr">
        <a:solidFill>
          <a:schemeClr val="dk1">
            <a:lumMod val="15000"/>
            <a:lumOff val="8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dk1">
        <a:lumMod val="65000"/>
        <a:lumOff val="35000"/>
      </a:schemeClr>
    </cs:fontRef>
    <cs:spPr>
      <a:solidFill>
        <a:schemeClr val="lt1">
          <a:alpha val="75000"/>
        </a:schemeClr>
      </a:solidFill>
      <a:ln w="9525">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317500" algn="ctr" rotWithShape="0">
          <a:prstClr val="black">
            <a:alpha val="25000"/>
          </a:prstClr>
        </a:outerShdw>
      </a:effectLst>
    </cs:spPr>
  </cs:dataPoint>
  <cs:dataPoint3D>
    <cs:lnRef idx="0"/>
    <cs:fillRef idx="0">
      <cs:styleClr val="auto"/>
    </cs:fillRef>
    <cs:effectRef idx="0"/>
    <cs:fontRef idx="minor">
      <a:schemeClr val="dk1"/>
    </cs:fontRef>
    <cs:spPr>
      <a:solidFill>
        <a:schemeClr val="phClr"/>
      </a:solidFill>
      <a:effectLst>
        <a:outerShdw blurRad="88900" sx="102000" sy="102000" algn="ctr" rotWithShape="0">
          <a:prstClr val="black">
            <a:alpha val="20000"/>
          </a:prstClr>
        </a:outerShdw>
      </a:effectLst>
      <a:scene3d>
        <a:camera prst="orthographicFront"/>
        <a:lightRig rig="threePt" dir="t"/>
      </a:scene3d>
      <a:sp3d prstMaterial="matte"/>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fillRef idx="0">
      <cs:styleClr val="auto"/>
    </cs:fillRef>
    <cs:effectRef idx="0"/>
    <cs:fontRef idx="minor">
      <a:schemeClr val="dk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65000"/>
        <a:lumOff val="35000"/>
      </a:schemeClr>
    </cs:fontRef>
    <cs:spPr>
      <a:noFill/>
      <a:ln w="9525" cap="flat" cmpd="sng" algn="ctr">
        <a:solidFill>
          <a:schemeClr val="dk1">
            <a:lumMod val="15000"/>
            <a:lumOff val="85000"/>
          </a:schemeClr>
        </a:solidFill>
        <a:round/>
      </a:ln>
    </cs:spPr>
    <cs:defRPr sz="900" kern="1200"/>
  </cs:dataTable>
  <cs:downBar>
    <cs:lnRef idx="0"/>
    <cs:fillRef idx="0"/>
    <cs:effectRef idx="0"/>
    <cs:fontRef idx="minor">
      <a:schemeClr val="dk1"/>
    </cs:fontRef>
    <cs:spPr>
      <a:solidFill>
        <a:schemeClr val="dk1">
          <a:lumMod val="75000"/>
          <a:lumOff val="25000"/>
        </a:schemeClr>
      </a:solidFill>
      <a:ln w="9525" cap="flat" cmpd="sng" algn="ctr">
        <a:solidFill>
          <a:schemeClr val="dk1">
            <a:lumMod val="65000"/>
            <a:lumOff val="35000"/>
          </a:schemeClr>
        </a:solidFill>
        <a:round/>
      </a:ln>
    </cs:spPr>
  </cs:downBar>
  <cs:dropLine>
    <cs:lnRef idx="0"/>
    <cs:fillRef idx="0"/>
    <cs:effectRef idx="0"/>
    <cs:fontRef idx="minor">
      <a:schemeClr val="dk1"/>
    </cs:fontRef>
    <cs:spPr>
      <a:ln w="9525" cap="flat" cmpd="sng" algn="ctr">
        <a:solidFill>
          <a:schemeClr val="dk1">
            <a:lumMod val="35000"/>
            <a:lumOff val="65000"/>
          </a:schemeClr>
        </a:solidFill>
        <a:round/>
      </a:ln>
    </cs:spPr>
  </cs:dropLine>
  <cs:errorBar>
    <cs:lnRef idx="0"/>
    <cs:fillRef idx="0"/>
    <cs:effectRef idx="0"/>
    <cs:fontRef idx="minor">
      <a:schemeClr val="dk1"/>
    </cs:fontRef>
    <cs:spPr>
      <a:ln w="9525" cap="flat" cmpd="sng" algn="ctr">
        <a:solidFill>
          <a:schemeClr val="dk1">
            <a:lumMod val="65000"/>
            <a:lumOff val="35000"/>
          </a:schemeClr>
        </a:solidFill>
        <a:round/>
      </a:ln>
    </cs:spPr>
  </cs:errorBar>
  <cs:floor>
    <cs:lnRef idx="0"/>
    <cs:fillRef idx="0"/>
    <cs:effectRef idx="0"/>
    <cs:fontRef idx="minor">
      <a:schemeClr val="dk1"/>
    </cs:fontRef>
    <cs:spPr>
      <a:noFill/>
      <a:ln>
        <a:noFill/>
      </a:ln>
    </cs:spPr>
  </cs:floor>
  <cs:gridlineMajor>
    <cs:lnRef idx="0"/>
    <cs:fillRef idx="0"/>
    <cs:effectRef idx="0"/>
    <cs:fontRef idx="minor">
      <a:schemeClr val="dk1"/>
    </cs:fontRef>
    <cs:spPr>
      <a:ln w="9525" cap="flat" cmpd="sng" algn="ctr">
        <a:solidFill>
          <a:schemeClr val="dk1">
            <a:lumMod val="15000"/>
            <a:lumOff val="85000"/>
          </a:schemeClr>
        </a:solidFill>
        <a:round/>
      </a:ln>
    </cs:spPr>
  </cs:gridlineMajor>
  <cs:gridlineMinor>
    <cs:lnRef idx="0"/>
    <cs:fillRef idx="0"/>
    <cs:effectRef idx="0"/>
    <cs:fontRef idx="minor">
      <a:schemeClr val="dk1"/>
    </cs:fontRef>
    <cs:spPr>
      <a:ln w="9525" cap="flat" cmpd="sng" algn="ctr">
        <a:solidFill>
          <a:schemeClr val="dk1">
            <a:lumMod val="5000"/>
            <a:lumOff val="95000"/>
          </a:schemeClr>
        </a:solidFill>
        <a:round/>
      </a:ln>
    </cs:spPr>
  </cs:gridlineMinor>
  <cs:hiLoLine>
    <cs:lnRef idx="0"/>
    <cs:fillRef idx="0"/>
    <cs:effectRef idx="0"/>
    <cs:fontRef idx="minor">
      <a:schemeClr val="dk1"/>
    </cs:fontRef>
    <cs:spPr>
      <a:ln w="9525" cap="flat" cmpd="sng" algn="ctr">
        <a:solidFill>
          <a:schemeClr val="dk1">
            <a:lumMod val="50000"/>
            <a:lumOff val="50000"/>
          </a:schemeClr>
        </a:solidFill>
        <a:round/>
      </a:ln>
    </cs:spPr>
  </cs:hiLoLine>
  <cs:leaderLine>
    <cs:lnRef idx="0"/>
    <cs:fillRef idx="0"/>
    <cs:effectRef idx="0"/>
    <cs:fontRef idx="minor">
      <a:schemeClr val="dk1"/>
    </cs:fontRef>
    <cs:spPr>
      <a:ln w="9525" cap="flat" cmpd="sng" algn="ctr">
        <a:solidFill>
          <a:schemeClr val="dk1">
            <a:lumMod val="35000"/>
            <a:lumOff val="65000"/>
          </a:schemeClr>
        </a:solidFill>
        <a:round/>
      </a:ln>
    </cs:spPr>
  </cs:leaderLine>
  <cs:legend>
    <cs:lnRef idx="0"/>
    <cs:fillRef idx="0"/>
    <cs:effectRef idx="0"/>
    <cs:fontRef idx="minor">
      <a:schemeClr val="dk1">
        <a:lumMod val="65000"/>
        <a:lumOff val="35000"/>
      </a:schemeClr>
    </cs:fontRef>
    <cs:spPr>
      <a:solidFill>
        <a:schemeClr val="lt1">
          <a:alpha val="78000"/>
        </a:schemeClr>
      </a:solidFill>
    </cs:spPr>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dk1">
        <a:lumMod val="65000"/>
        <a:lumOff val="35000"/>
      </a:schemeClr>
    </cs:fontRef>
    <cs:defRPr sz="900" kern="1200"/>
  </cs:seriesAxis>
  <cs:seriesLine>
    <cs:lnRef idx="0"/>
    <cs:fillRef idx="0"/>
    <cs:effectRef idx="0"/>
    <cs:fontRef idx="minor">
      <a:schemeClr val="dk1"/>
    </cs:fontRef>
    <cs:spPr>
      <a:ln w="9525" cap="flat" cmpd="sng" algn="ctr">
        <a:solidFill>
          <a:schemeClr val="dk1">
            <a:lumMod val="35000"/>
            <a:lumOff val="65000"/>
          </a:schemeClr>
        </a:solidFill>
        <a:round/>
      </a:ln>
    </cs:spPr>
  </cs:seriesLine>
  <cs:title>
    <cs:lnRef idx="0"/>
    <cs:fillRef idx="0"/>
    <cs:effectRef idx="0"/>
    <cs:fontRef idx="minor">
      <a:schemeClr val="dk1">
        <a:lumMod val="65000"/>
        <a:lumOff val="35000"/>
      </a:schemeClr>
    </cs:fontRef>
    <cs:defRPr sz="1800" b="1" kern="1200" baseline="0"/>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dk1">
        <a:lumMod val="65000"/>
        <a:lumOff val="35000"/>
      </a:schemeClr>
    </cs:fontRef>
    <cs:defRPr sz="900" kern="1200"/>
  </cs:trendlineLabel>
  <cs:upBar>
    <cs:lnRef idx="0"/>
    <cs:fillRef idx="0"/>
    <cs:effectRef idx="0"/>
    <cs:fontRef idx="minor">
      <a:schemeClr val="dk1"/>
    </cs:fontRef>
    <cs:spPr>
      <a:solidFill>
        <a:schemeClr val="lt1"/>
      </a:solidFill>
      <a:ln w="9525" cap="flat" cmpd="sng" algn="ctr">
        <a:solidFill>
          <a:schemeClr val="dk1">
            <a:lumMod val="65000"/>
            <a:lumOff val="35000"/>
          </a:schemeClr>
        </a:solidFill>
        <a:round/>
      </a:ln>
    </cs:spPr>
  </cs:upBar>
  <cs:valueAxis>
    <cs:lnRef idx="0"/>
    <cs:fillRef idx="0"/>
    <cs:effectRef idx="0"/>
    <cs:fontRef idx="minor">
      <a:schemeClr val="dk1">
        <a:lumMod val="65000"/>
        <a:lumOff val="35000"/>
      </a:schemeClr>
    </cs:fontRef>
    <cs:defRPr sz="900" kern="1200"/>
  </cs:valueAxis>
  <cs:wall>
    <cs:lnRef idx="0"/>
    <cs:fillRef idx="0"/>
    <cs:effectRef idx="0"/>
    <cs:fontRef idx="minor">
      <a:schemeClr val="dk1"/>
    </cs:fontRef>
  </cs:wall>
</cs:chartStyle>
</file>

<file path=xl/charts/style8.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85">
  <cs:axisTitle>
    <cs:lnRef idx="0"/>
    <cs:fillRef idx="0"/>
    <cs:effectRef idx="0"/>
    <cs:fontRef idx="minor">
      <a:schemeClr val="lt1"/>
    </cs:fontRef>
    <cs:defRPr sz="900" kern="1200"/>
  </cs:axisTitle>
  <cs:categoryAxis>
    <cs:lnRef idx="0">
      <cs:styleClr val="0"/>
    </cs:lnRef>
    <cs:fillRef idx="0"/>
    <cs:effectRef idx="0"/>
    <cs:fontRef idx="minor">
      <a:schemeClr val="lt1"/>
    </cs:fontRef>
    <cs:spPr>
      <a:ln w="9525" cap="flat" cmpd="sng" algn="ctr">
        <a:solidFill>
          <a:schemeClr val="phClr">
            <a:lumMod val="40000"/>
            <a:lumOff val="60000"/>
            <a:alpha val="25000"/>
          </a:schemeClr>
        </a:solidFill>
        <a:round/>
      </a:ln>
    </cs:spPr>
    <cs:defRPr sz="900" kern="1200"/>
  </cs:categoryAxis>
  <cs:chartArea>
    <cs:lnRef idx="0">
      <cs:styleClr val="0"/>
    </cs:lnRef>
    <cs:fillRef idx="0">
      <cs:styleClr val="0"/>
    </cs:fillRef>
    <cs:effectRef idx="0"/>
    <cs:fontRef idx="minor">
      <a:schemeClr val="lt1"/>
    </cs:fontRef>
    <cs:spPr>
      <a:solidFill>
        <a:schemeClr val="phClr"/>
      </a:solidFill>
      <a:ln w="9525" cap="flat" cmpd="sng" algn="ctr">
        <a:solidFill>
          <a:schemeClr val="phClr"/>
        </a:solidFill>
        <a:round/>
      </a:ln>
    </cs:spPr>
    <cs:defRPr sz="900" kern="1200"/>
  </cs:chartArea>
  <cs:dataLabel>
    <cs:lnRef idx="0"/>
    <cs:fillRef idx="0"/>
    <cs:effectRef idx="0"/>
    <cs:fontRef idx="minor">
      <a:schemeClr val="lt1"/>
    </cs:fontRef>
    <cs:defRPr sz="900" b="1" kern="1200"/>
  </cs:dataLabel>
  <cs:dataLabelCallout>
    <cs:lnRef idx="0">
      <cs:styleClr val="auto"/>
    </cs:lnRef>
    <cs:fillRef idx="0"/>
    <cs:effectRef idx="0"/>
    <cs:fontRef idx="minor">
      <cs:styleClr val="auto"/>
    </cs:fontRef>
    <cs:spPr>
      <a:solidFill>
        <a:schemeClr val="lt1"/>
      </a:solidFill>
      <a:ln>
        <a:solidFill>
          <a:schemeClr val="phClr"/>
        </a:solidFill>
      </a:ln>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0"/>
    <cs:effectRef idx="0"/>
    <cs:fontRef idx="minor">
      <a:schemeClr val="tx1"/>
    </cs:fontRef>
    <cs:spPr>
      <a:gradFill>
        <a:gsLst>
          <a:gs pos="0">
            <a:schemeClr val="lt1">
              <a:alpha val="50000"/>
            </a:schemeClr>
          </a:gs>
          <a:gs pos="100000">
            <a:schemeClr val="lt1">
              <a:alpha val="0"/>
            </a:schemeClr>
          </a:gs>
        </a:gsLst>
        <a:lin ang="5400000" scaled="0"/>
      </a:gradFill>
      <a:ln>
        <a:solidFill>
          <a:schemeClr val="phClr"/>
        </a:solidFill>
      </a:ln>
      <a:effectLst>
        <a:innerShdw dist="38100" dir="16200000">
          <a:schemeClr val="lt1"/>
        </a:innerShdw>
      </a:effectLst>
    </cs:spPr>
  </cs:dataPoint>
  <cs:dataPoint3D>
    <cs:lnRef idx="0">
      <cs:styleClr val="auto"/>
    </cs:lnRef>
    <cs:fillRef idx="0"/>
    <cs:effectRef idx="0"/>
    <cs:fontRef idx="minor">
      <a:schemeClr val="lt1"/>
    </cs:fontRef>
    <cs:spPr>
      <a:gradFill>
        <a:gsLst>
          <a:gs pos="0">
            <a:schemeClr val="lt1">
              <a:alpha val="50000"/>
            </a:schemeClr>
          </a:gs>
          <a:gs pos="100000">
            <a:schemeClr val="lt1">
              <a:alpha val="0"/>
            </a:schemeClr>
          </a:gs>
        </a:gsLst>
        <a:lin ang="5400000" scaled="0"/>
      </a:gradFill>
      <a:ln>
        <a:solidFill>
          <a:schemeClr val="phClr"/>
        </a:solidFill>
      </a:ln>
      <a:effectLst>
        <a:innerShdw dist="38100" dir="16200000">
          <a:schemeClr val="lt1"/>
        </a:innerShdw>
      </a:effectLst>
    </cs:spPr>
  </cs:dataPoint3D>
  <cs:dataPointLine>
    <cs:lnRef idx="0">
      <cs:styleClr val="auto"/>
    </cs:lnRef>
    <cs:fillRef idx="0"/>
    <cs:effectRef idx="0">
      <cs:styleClr val="auto"/>
    </cs:effectRef>
    <cs:fontRef idx="minor">
      <a:schemeClr val="lt1"/>
    </cs:fontRef>
    <cs:spPr>
      <a:ln w="34925" cap="rnd">
        <a:solidFill>
          <a:schemeClr val="lt1"/>
        </a:solidFill>
        <a:round/>
      </a:ln>
      <a:effectLst>
        <a:outerShdw dist="25400" dir="2700000" algn="tl" rotWithShape="0">
          <a:schemeClr val="phClr"/>
        </a:outerShdw>
      </a:effectLst>
    </cs:spPr>
  </cs:dataPointLine>
  <cs:dataPointMarker>
    <cs:lnRef idx="0"/>
    <cs:fillRef idx="0">
      <cs:styleClr val="auto"/>
    </cs:fillRef>
    <cs:effectRef idx="0"/>
    <cs:fontRef idx="minor">
      <a:schemeClr val="lt1"/>
    </cs:fontRef>
    <cs:spPr>
      <a:solidFill>
        <a:schemeClr val="phClr"/>
      </a:solidFill>
      <a:ln w="22225">
        <a:solidFill>
          <a:schemeClr val="lt1"/>
        </a:solidFill>
        <a:round/>
      </a:ln>
    </cs:spPr>
  </cs:dataPointMarker>
  <cs:dataPointMarkerLayout symbol="circle" size="5"/>
  <cs:dataPointWireframe>
    <cs:lnRef idx="0">
      <cs:styleClr val="auto"/>
    </cs:lnRef>
    <cs:fillRef idx="0"/>
    <cs:effectRef idx="0"/>
    <cs:fontRef idx="minor">
      <a:schemeClr val="lt1"/>
    </cs:fontRef>
    <cs:spPr>
      <a:ln w="9525" cap="rnd">
        <a:solidFill>
          <a:schemeClr val="phClr"/>
        </a:solidFill>
        <a:round/>
      </a:ln>
    </cs:spPr>
  </cs:dataPointWireframe>
  <cs:dataTable>
    <cs:lnRef idx="0">
      <cs:styleClr val="0"/>
    </cs:lnRef>
    <cs:fillRef idx="0"/>
    <cs:effectRef idx="0"/>
    <cs:fontRef idx="minor">
      <a:schemeClr val="lt1"/>
    </cs:fontRef>
    <cs:spPr>
      <a:ln w="9525">
        <a:solidFill>
          <a:schemeClr val="phClr">
            <a:lumMod val="40000"/>
            <a:lumOff val="60000"/>
            <a:alpha val="25000"/>
          </a:schemeClr>
        </a:solidFill>
      </a:ln>
    </cs:spPr>
    <cs:defRPr sz="900" kern="1200"/>
  </cs:dataTable>
  <cs:downBar>
    <cs:lnRef idx="0">
      <cs:styleClr val="0"/>
    </cs:lnRef>
    <cs:fillRef idx="0"/>
    <cs:effectRef idx="0"/>
    <cs:fontRef idx="minor">
      <a:schemeClr val="lt1"/>
    </cs:fontRef>
    <cs:spPr>
      <a:solidFill>
        <a:schemeClr val="dk1">
          <a:lumMod val="35000"/>
          <a:lumOff val="65000"/>
        </a:schemeClr>
      </a:solidFill>
      <a:ln w="9525">
        <a:solidFill>
          <a:schemeClr val="phClr">
            <a:lumMod val="60000"/>
            <a:lumOff val="40000"/>
          </a:schemeClr>
        </a:solidFill>
      </a:ln>
    </cs:spPr>
  </cs:downBar>
  <cs:dropLine>
    <cs:lnRef idx="0"/>
    <cs:fillRef idx="0"/>
    <cs:effectRef idx="0"/>
    <cs:fontRef idx="minor">
      <a:schemeClr val="lt1"/>
    </cs:fontRef>
    <cs:spPr>
      <a:ln w="9525" cap="flat" cmpd="sng" algn="ctr">
        <a:gradFill>
          <a:gsLst>
            <a:gs pos="0">
              <a:schemeClr val="lt1"/>
            </a:gs>
            <a:gs pos="50000">
              <a:schemeClr val="lt1">
                <a:alpha val="0"/>
              </a:schemeClr>
            </a:gs>
          </a:gsLst>
          <a:lin ang="5400000" scaled="0"/>
        </a:gradFill>
        <a:round/>
      </a:ln>
    </cs:spPr>
  </cs:dropLine>
  <cs:errorBar>
    <cs:lnRef idx="0">
      <cs:styleClr val="0"/>
    </cs:lnRef>
    <cs:fillRef idx="0"/>
    <cs:effectRef idx="0"/>
    <cs:fontRef idx="minor">
      <a:schemeClr val="lt1"/>
    </cs:fontRef>
    <cs:spPr>
      <a:ln w="9525">
        <a:solidFill>
          <a:schemeClr val="phClr">
            <a:lumMod val="60000"/>
            <a:lumOff val="40000"/>
          </a:schemeClr>
        </a:solidFill>
        <a:round/>
      </a:ln>
      <a:effectLst>
        <a:glow rad="25400">
          <a:schemeClr val="lt1"/>
        </a:glow>
      </a:effectLst>
    </cs:spPr>
  </cs:errorBar>
  <cs:floor>
    <cs:lnRef idx="0"/>
    <cs:fillRef idx="0"/>
    <cs:effectRef idx="0"/>
    <cs:fontRef idx="minor">
      <a:schemeClr val="lt1"/>
    </cs:fontRef>
  </cs:floor>
  <cs:gridlineMajor>
    <cs:lnRef idx="0">
      <cs:styleClr val="0"/>
    </cs:lnRef>
    <cs:fillRef idx="0"/>
    <cs:effectRef idx="0"/>
    <cs:fontRef idx="minor">
      <a:schemeClr val="lt1"/>
    </cs:fontRef>
    <cs:spPr>
      <a:ln>
        <a:solidFill>
          <a:schemeClr val="phClr">
            <a:lumMod val="40000"/>
            <a:lumOff val="60000"/>
            <a:alpha val="25000"/>
          </a:schemeClr>
        </a:solidFill>
      </a:ln>
    </cs:spPr>
  </cs:gridlineMajor>
  <cs:gridlineMinor>
    <cs:lnRef idx="0">
      <cs:styleClr val="0"/>
    </cs:lnRef>
    <cs:fillRef idx="0"/>
    <cs:effectRef idx="0"/>
    <cs:fontRef idx="minor">
      <a:schemeClr val="lt1"/>
    </cs:fontRef>
    <cs:spPr>
      <a:ln>
        <a:solidFill>
          <a:schemeClr val="phClr">
            <a:lumMod val="40000"/>
            <a:lumOff val="60000"/>
            <a:alpha val="25000"/>
          </a:schemeClr>
        </a:solidFill>
      </a:ln>
    </cs:spPr>
  </cs:gridlineMinor>
  <cs:hiLoLine>
    <cs:lnRef idx="0">
      <cs:styleClr val="0"/>
    </cs:lnRef>
    <cs:fillRef idx="0"/>
    <cs:effectRef idx="0"/>
    <cs:fontRef idx="minor">
      <a:schemeClr val="lt1"/>
    </cs:fontRef>
    <cs:spPr>
      <a:ln w="9525">
        <a:solidFill>
          <a:schemeClr val="phClr">
            <a:lumMod val="60000"/>
            <a:lumOff val="40000"/>
          </a:schemeClr>
        </a:solidFill>
      </a:ln>
    </cs:spPr>
  </cs:hiLoLine>
  <cs:leaderLine>
    <cs:lnRef idx="0">
      <cs:styleClr val="0"/>
    </cs:lnRef>
    <cs:fillRef idx="0"/>
    <cs:effectRef idx="0"/>
    <cs:fontRef idx="minor">
      <a:schemeClr val="lt1"/>
    </cs:fontRef>
    <cs:spPr>
      <a:ln w="9525">
        <a:solidFill>
          <a:schemeClr val="phClr">
            <a:lumMod val="60000"/>
            <a:lumOff val="40000"/>
          </a:schemeClr>
        </a:solidFill>
      </a:ln>
    </cs:spPr>
  </cs:leaderLine>
  <cs:legend>
    <cs:lnRef idx="0"/>
    <cs:fillRef idx="0"/>
    <cs:effectRef idx="0"/>
    <cs:fontRef idx="minor">
      <a:schemeClr val="lt1"/>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styleClr val="0"/>
    </cs:lnRef>
    <cs:fillRef idx="0"/>
    <cs:effectRef idx="0"/>
    <cs:fontRef idx="minor">
      <a:schemeClr val="lt1"/>
    </cs:fontRef>
    <cs:spPr>
      <a:ln w="9525" cap="flat" cmpd="sng" algn="ctr">
        <a:solidFill>
          <a:schemeClr val="phClr">
            <a:lumMod val="40000"/>
            <a:lumOff val="60000"/>
            <a:alpha val="25000"/>
          </a:schemeClr>
        </a:solidFill>
        <a:round/>
      </a:ln>
    </cs:spPr>
    <cs:defRPr sz="900" kern="1200"/>
  </cs:seriesAxis>
  <cs:seriesLine>
    <cs:lnRef idx="0">
      <cs:styleClr val="0"/>
    </cs:lnRef>
    <cs:fillRef idx="0"/>
    <cs:effectRef idx="0"/>
    <cs:fontRef idx="minor">
      <a:schemeClr val="lt1"/>
    </cs:fontRef>
    <cs:spPr>
      <a:ln w="9525">
        <a:solidFill>
          <a:schemeClr val="phClr">
            <a:lumMod val="60000"/>
            <a:lumOff val="40000"/>
            <a:tint val="50000"/>
          </a:schemeClr>
        </a:solidFill>
        <a:prstDash val="dash"/>
      </a:ln>
    </cs:spPr>
  </cs:seriesLine>
  <cs:title>
    <cs:lnRef idx="0"/>
    <cs:fillRef idx="0"/>
    <cs:effectRef idx="0"/>
    <cs:fontRef idx="minor">
      <a:schemeClr val="lt1"/>
    </cs:fontRef>
    <cs:defRPr sz="1500" b="1" kern="1200" cap="all" spc="100" normalizeH="0" baseline="0"/>
  </cs:title>
  <cs:trendline>
    <cs:lnRef idx="0"/>
    <cs:fillRef idx="0"/>
    <cs:effectRef idx="0"/>
    <cs:fontRef idx="minor">
      <a:schemeClr val="lt1"/>
    </cs:fontRef>
    <cs:spPr>
      <a:ln w="28575" cap="rnd">
        <a:solidFill>
          <a:schemeClr val="lt1">
            <a:alpha val="50000"/>
          </a:schemeClr>
        </a:solidFill>
        <a:round/>
      </a:ln>
    </cs:spPr>
  </cs:trendline>
  <cs:trendlineLabel>
    <cs:lnRef idx="0"/>
    <cs:fillRef idx="0"/>
    <cs:effectRef idx="0"/>
    <cs:fontRef idx="minor">
      <a:schemeClr val="lt1"/>
    </cs:fontRef>
    <cs:defRPr sz="900" kern="1200"/>
  </cs:trendlineLabel>
  <cs:upBar>
    <cs:lnRef idx="0">
      <cs:styleClr val="0"/>
    </cs:lnRef>
    <cs:fillRef idx="0"/>
    <cs:effectRef idx="0"/>
    <cs:fontRef idx="minor">
      <a:schemeClr val="lt1"/>
    </cs:fontRef>
    <cs:spPr>
      <a:solidFill>
        <a:schemeClr val="lt1">
          <a:lumMod val="95000"/>
        </a:schemeClr>
      </a:solidFill>
      <a:ln w="9525">
        <a:solidFill>
          <a:schemeClr val="phClr">
            <a:lumMod val="60000"/>
            <a:lumOff val="40000"/>
          </a:schemeClr>
        </a:solidFill>
      </a:ln>
    </cs:spPr>
  </cs:upBar>
  <cs:valueAxis>
    <cs:lnRef idx="0"/>
    <cs:fillRef idx="0"/>
    <cs:effectRef idx="0"/>
    <cs:fontRef idx="minor">
      <a:schemeClr val="lt1"/>
    </cs:fontRef>
    <cs:defRPr sz="900" kern="1200"/>
    <cs:bodyPr/>
  </cs:valueAxis>
  <cs:wall>
    <cs:lnRef idx="0"/>
    <cs:fillRef idx="0"/>
    <cs:effectRef idx="0"/>
    <cs:fontRef idx="minor">
      <a:schemeClr val="lt1"/>
    </cs:fontRef>
  </cs:wall>
</cs:chartStyle>
</file>

<file path=xl/charts/style10.xml><?xml version="1.0" encoding="utf-8"?>
<cs:chartStyle xmlns:cs="http://schemas.microsoft.com/office/drawing/2012/chartStyle" xmlns:a="http://schemas.openxmlformats.org/drawingml/2006/main" id="285">
  <cs:axisTitle>
    <cs:lnRef idx="0"/>
    <cs:fillRef idx="0"/>
    <cs:effectRef idx="0"/>
    <cs:fontRef idx="minor">
      <a:schemeClr val="lt1"/>
    </cs:fontRef>
    <cs:defRPr sz="900" kern="1200"/>
  </cs:axisTitle>
  <cs:categoryAxis>
    <cs:lnRef idx="0">
      <cs:styleClr val="0"/>
    </cs:lnRef>
    <cs:fillRef idx="0"/>
    <cs:effectRef idx="0"/>
    <cs:fontRef idx="minor">
      <a:schemeClr val="lt1"/>
    </cs:fontRef>
    <cs:spPr>
      <a:ln w="9525" cap="flat" cmpd="sng" algn="ctr">
        <a:solidFill>
          <a:schemeClr val="phClr">
            <a:lumMod val="40000"/>
            <a:lumOff val="60000"/>
            <a:alpha val="25000"/>
          </a:schemeClr>
        </a:solidFill>
        <a:round/>
      </a:ln>
    </cs:spPr>
    <cs:defRPr sz="900" kern="1200"/>
  </cs:categoryAxis>
  <cs:chartArea>
    <cs:lnRef idx="0">
      <cs:styleClr val="0"/>
    </cs:lnRef>
    <cs:fillRef idx="0">
      <cs:styleClr val="0"/>
    </cs:fillRef>
    <cs:effectRef idx="0"/>
    <cs:fontRef idx="minor">
      <a:schemeClr val="lt1"/>
    </cs:fontRef>
    <cs:spPr>
      <a:solidFill>
        <a:schemeClr val="phClr"/>
      </a:solidFill>
      <a:ln w="9525" cap="flat" cmpd="sng" algn="ctr">
        <a:solidFill>
          <a:schemeClr val="phClr"/>
        </a:solidFill>
        <a:round/>
      </a:ln>
    </cs:spPr>
    <cs:defRPr sz="900" kern="1200"/>
  </cs:chartArea>
  <cs:dataLabel>
    <cs:lnRef idx="0"/>
    <cs:fillRef idx="0"/>
    <cs:effectRef idx="0"/>
    <cs:fontRef idx="minor">
      <a:schemeClr val="lt1"/>
    </cs:fontRef>
    <cs:defRPr sz="900" b="1" kern="1200"/>
  </cs:dataLabel>
  <cs:dataLabelCallout>
    <cs:lnRef idx="0">
      <cs:styleClr val="auto"/>
    </cs:lnRef>
    <cs:fillRef idx="0"/>
    <cs:effectRef idx="0"/>
    <cs:fontRef idx="minor">
      <cs:styleClr val="auto"/>
    </cs:fontRef>
    <cs:spPr>
      <a:solidFill>
        <a:schemeClr val="lt1"/>
      </a:solidFill>
      <a:ln>
        <a:solidFill>
          <a:schemeClr val="phClr"/>
        </a:solidFill>
      </a:ln>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0"/>
    <cs:effectRef idx="0"/>
    <cs:fontRef idx="minor">
      <a:schemeClr val="tx1"/>
    </cs:fontRef>
    <cs:spPr>
      <a:gradFill>
        <a:gsLst>
          <a:gs pos="0">
            <a:schemeClr val="lt1">
              <a:alpha val="50000"/>
            </a:schemeClr>
          </a:gs>
          <a:gs pos="100000">
            <a:schemeClr val="lt1">
              <a:alpha val="0"/>
            </a:schemeClr>
          </a:gs>
        </a:gsLst>
        <a:lin ang="5400000" scaled="0"/>
      </a:gradFill>
      <a:ln>
        <a:solidFill>
          <a:schemeClr val="phClr"/>
        </a:solidFill>
      </a:ln>
      <a:effectLst>
        <a:innerShdw dist="38100" dir="16200000">
          <a:schemeClr val="lt1"/>
        </a:innerShdw>
      </a:effectLst>
    </cs:spPr>
  </cs:dataPoint>
  <cs:dataPoint3D>
    <cs:lnRef idx="0">
      <cs:styleClr val="auto"/>
    </cs:lnRef>
    <cs:fillRef idx="0"/>
    <cs:effectRef idx="0"/>
    <cs:fontRef idx="minor">
      <a:schemeClr val="lt1"/>
    </cs:fontRef>
    <cs:spPr>
      <a:gradFill>
        <a:gsLst>
          <a:gs pos="0">
            <a:schemeClr val="lt1">
              <a:alpha val="50000"/>
            </a:schemeClr>
          </a:gs>
          <a:gs pos="100000">
            <a:schemeClr val="lt1">
              <a:alpha val="0"/>
            </a:schemeClr>
          </a:gs>
        </a:gsLst>
        <a:lin ang="5400000" scaled="0"/>
      </a:gradFill>
      <a:ln>
        <a:solidFill>
          <a:schemeClr val="phClr"/>
        </a:solidFill>
      </a:ln>
      <a:effectLst>
        <a:innerShdw dist="38100" dir="16200000">
          <a:schemeClr val="lt1"/>
        </a:innerShdw>
      </a:effectLst>
    </cs:spPr>
  </cs:dataPoint3D>
  <cs:dataPointLine>
    <cs:lnRef idx="0">
      <cs:styleClr val="auto"/>
    </cs:lnRef>
    <cs:fillRef idx="0"/>
    <cs:effectRef idx="0">
      <cs:styleClr val="auto"/>
    </cs:effectRef>
    <cs:fontRef idx="minor">
      <a:schemeClr val="lt1"/>
    </cs:fontRef>
    <cs:spPr>
      <a:ln w="34925" cap="rnd">
        <a:solidFill>
          <a:schemeClr val="lt1"/>
        </a:solidFill>
        <a:round/>
      </a:ln>
      <a:effectLst>
        <a:outerShdw dist="25400" dir="2700000" algn="tl" rotWithShape="0">
          <a:schemeClr val="phClr"/>
        </a:outerShdw>
      </a:effectLst>
    </cs:spPr>
  </cs:dataPointLine>
  <cs:dataPointMarker>
    <cs:lnRef idx="0"/>
    <cs:fillRef idx="0">
      <cs:styleClr val="auto"/>
    </cs:fillRef>
    <cs:effectRef idx="0"/>
    <cs:fontRef idx="minor">
      <a:schemeClr val="lt1"/>
    </cs:fontRef>
    <cs:spPr>
      <a:solidFill>
        <a:schemeClr val="phClr"/>
      </a:solidFill>
      <a:ln w="22225">
        <a:solidFill>
          <a:schemeClr val="lt1"/>
        </a:solidFill>
        <a:round/>
      </a:ln>
    </cs:spPr>
  </cs:dataPointMarker>
  <cs:dataPointMarkerLayout symbol="circle" size="5"/>
  <cs:dataPointWireframe>
    <cs:lnRef idx="0">
      <cs:styleClr val="auto"/>
    </cs:lnRef>
    <cs:fillRef idx="0"/>
    <cs:effectRef idx="0"/>
    <cs:fontRef idx="minor">
      <a:schemeClr val="lt1"/>
    </cs:fontRef>
    <cs:spPr>
      <a:ln w="9525" cap="rnd">
        <a:solidFill>
          <a:schemeClr val="phClr"/>
        </a:solidFill>
        <a:round/>
      </a:ln>
    </cs:spPr>
  </cs:dataPointWireframe>
  <cs:dataTable>
    <cs:lnRef idx="0">
      <cs:styleClr val="0"/>
    </cs:lnRef>
    <cs:fillRef idx="0"/>
    <cs:effectRef idx="0"/>
    <cs:fontRef idx="minor">
      <a:schemeClr val="lt1"/>
    </cs:fontRef>
    <cs:spPr>
      <a:ln w="9525">
        <a:solidFill>
          <a:schemeClr val="phClr">
            <a:lumMod val="40000"/>
            <a:lumOff val="60000"/>
            <a:alpha val="25000"/>
          </a:schemeClr>
        </a:solidFill>
      </a:ln>
    </cs:spPr>
    <cs:defRPr sz="900" kern="1200"/>
  </cs:dataTable>
  <cs:downBar>
    <cs:lnRef idx="0">
      <cs:styleClr val="0"/>
    </cs:lnRef>
    <cs:fillRef idx="0"/>
    <cs:effectRef idx="0"/>
    <cs:fontRef idx="minor">
      <a:schemeClr val="lt1"/>
    </cs:fontRef>
    <cs:spPr>
      <a:solidFill>
        <a:schemeClr val="dk1">
          <a:lumMod val="35000"/>
          <a:lumOff val="65000"/>
        </a:schemeClr>
      </a:solidFill>
      <a:ln w="9525">
        <a:solidFill>
          <a:schemeClr val="phClr">
            <a:lumMod val="60000"/>
            <a:lumOff val="40000"/>
          </a:schemeClr>
        </a:solidFill>
      </a:ln>
    </cs:spPr>
  </cs:downBar>
  <cs:dropLine>
    <cs:lnRef idx="0"/>
    <cs:fillRef idx="0"/>
    <cs:effectRef idx="0"/>
    <cs:fontRef idx="minor">
      <a:schemeClr val="lt1"/>
    </cs:fontRef>
    <cs:spPr>
      <a:ln w="9525" cap="flat" cmpd="sng" algn="ctr">
        <a:gradFill>
          <a:gsLst>
            <a:gs pos="0">
              <a:schemeClr val="lt1"/>
            </a:gs>
            <a:gs pos="50000">
              <a:schemeClr val="lt1">
                <a:alpha val="0"/>
              </a:schemeClr>
            </a:gs>
          </a:gsLst>
          <a:lin ang="5400000" scaled="0"/>
        </a:gradFill>
        <a:round/>
      </a:ln>
    </cs:spPr>
  </cs:dropLine>
  <cs:errorBar>
    <cs:lnRef idx="0">
      <cs:styleClr val="0"/>
    </cs:lnRef>
    <cs:fillRef idx="0"/>
    <cs:effectRef idx="0"/>
    <cs:fontRef idx="minor">
      <a:schemeClr val="lt1"/>
    </cs:fontRef>
    <cs:spPr>
      <a:ln w="9525">
        <a:solidFill>
          <a:schemeClr val="phClr">
            <a:lumMod val="60000"/>
            <a:lumOff val="40000"/>
          </a:schemeClr>
        </a:solidFill>
        <a:round/>
      </a:ln>
      <a:effectLst>
        <a:glow rad="25400">
          <a:schemeClr val="lt1"/>
        </a:glow>
      </a:effectLst>
    </cs:spPr>
  </cs:errorBar>
  <cs:floor>
    <cs:lnRef idx="0"/>
    <cs:fillRef idx="0"/>
    <cs:effectRef idx="0"/>
    <cs:fontRef idx="minor">
      <a:schemeClr val="lt1"/>
    </cs:fontRef>
  </cs:floor>
  <cs:gridlineMajor>
    <cs:lnRef idx="0">
      <cs:styleClr val="0"/>
    </cs:lnRef>
    <cs:fillRef idx="0"/>
    <cs:effectRef idx="0"/>
    <cs:fontRef idx="minor">
      <a:schemeClr val="lt1"/>
    </cs:fontRef>
    <cs:spPr>
      <a:ln>
        <a:solidFill>
          <a:schemeClr val="phClr">
            <a:lumMod val="40000"/>
            <a:lumOff val="60000"/>
            <a:alpha val="25000"/>
          </a:schemeClr>
        </a:solidFill>
      </a:ln>
    </cs:spPr>
  </cs:gridlineMajor>
  <cs:gridlineMinor>
    <cs:lnRef idx="0">
      <cs:styleClr val="0"/>
    </cs:lnRef>
    <cs:fillRef idx="0"/>
    <cs:effectRef idx="0"/>
    <cs:fontRef idx="minor">
      <a:schemeClr val="lt1"/>
    </cs:fontRef>
    <cs:spPr>
      <a:ln>
        <a:solidFill>
          <a:schemeClr val="phClr">
            <a:lumMod val="40000"/>
            <a:lumOff val="60000"/>
            <a:alpha val="25000"/>
          </a:schemeClr>
        </a:solidFill>
      </a:ln>
    </cs:spPr>
  </cs:gridlineMinor>
  <cs:hiLoLine>
    <cs:lnRef idx="0">
      <cs:styleClr val="0"/>
    </cs:lnRef>
    <cs:fillRef idx="0"/>
    <cs:effectRef idx="0"/>
    <cs:fontRef idx="minor">
      <a:schemeClr val="lt1"/>
    </cs:fontRef>
    <cs:spPr>
      <a:ln w="9525">
        <a:solidFill>
          <a:schemeClr val="phClr">
            <a:lumMod val="60000"/>
            <a:lumOff val="40000"/>
          </a:schemeClr>
        </a:solidFill>
      </a:ln>
    </cs:spPr>
  </cs:hiLoLine>
  <cs:leaderLine>
    <cs:lnRef idx="0">
      <cs:styleClr val="0"/>
    </cs:lnRef>
    <cs:fillRef idx="0"/>
    <cs:effectRef idx="0"/>
    <cs:fontRef idx="minor">
      <a:schemeClr val="lt1"/>
    </cs:fontRef>
    <cs:spPr>
      <a:ln w="9525">
        <a:solidFill>
          <a:schemeClr val="phClr">
            <a:lumMod val="60000"/>
            <a:lumOff val="40000"/>
          </a:schemeClr>
        </a:solidFill>
      </a:ln>
    </cs:spPr>
  </cs:leaderLine>
  <cs:legend>
    <cs:lnRef idx="0"/>
    <cs:fillRef idx="0"/>
    <cs:effectRef idx="0"/>
    <cs:fontRef idx="minor">
      <a:schemeClr val="lt1"/>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styleClr val="0"/>
    </cs:lnRef>
    <cs:fillRef idx="0"/>
    <cs:effectRef idx="0"/>
    <cs:fontRef idx="minor">
      <a:schemeClr val="lt1"/>
    </cs:fontRef>
    <cs:spPr>
      <a:ln w="9525" cap="flat" cmpd="sng" algn="ctr">
        <a:solidFill>
          <a:schemeClr val="phClr">
            <a:lumMod val="40000"/>
            <a:lumOff val="60000"/>
            <a:alpha val="25000"/>
          </a:schemeClr>
        </a:solidFill>
        <a:round/>
      </a:ln>
    </cs:spPr>
    <cs:defRPr sz="900" kern="1200"/>
  </cs:seriesAxis>
  <cs:seriesLine>
    <cs:lnRef idx="0">
      <cs:styleClr val="0"/>
    </cs:lnRef>
    <cs:fillRef idx="0"/>
    <cs:effectRef idx="0"/>
    <cs:fontRef idx="minor">
      <a:schemeClr val="lt1"/>
    </cs:fontRef>
    <cs:spPr>
      <a:ln w="9525">
        <a:solidFill>
          <a:schemeClr val="phClr">
            <a:lumMod val="60000"/>
            <a:lumOff val="40000"/>
            <a:tint val="50000"/>
          </a:schemeClr>
        </a:solidFill>
        <a:prstDash val="dash"/>
      </a:ln>
    </cs:spPr>
  </cs:seriesLine>
  <cs:title>
    <cs:lnRef idx="0"/>
    <cs:fillRef idx="0"/>
    <cs:effectRef idx="0"/>
    <cs:fontRef idx="minor">
      <a:schemeClr val="lt1"/>
    </cs:fontRef>
    <cs:defRPr sz="1500" b="1" kern="1200" cap="all" spc="100" normalizeH="0" baseline="0"/>
  </cs:title>
  <cs:trendline>
    <cs:lnRef idx="0"/>
    <cs:fillRef idx="0"/>
    <cs:effectRef idx="0"/>
    <cs:fontRef idx="minor">
      <a:schemeClr val="lt1"/>
    </cs:fontRef>
    <cs:spPr>
      <a:ln w="28575" cap="rnd">
        <a:solidFill>
          <a:schemeClr val="lt1">
            <a:alpha val="50000"/>
          </a:schemeClr>
        </a:solidFill>
        <a:round/>
      </a:ln>
    </cs:spPr>
  </cs:trendline>
  <cs:trendlineLabel>
    <cs:lnRef idx="0"/>
    <cs:fillRef idx="0"/>
    <cs:effectRef idx="0"/>
    <cs:fontRef idx="minor">
      <a:schemeClr val="lt1"/>
    </cs:fontRef>
    <cs:defRPr sz="900" kern="1200"/>
  </cs:trendlineLabel>
  <cs:upBar>
    <cs:lnRef idx="0">
      <cs:styleClr val="0"/>
    </cs:lnRef>
    <cs:fillRef idx="0"/>
    <cs:effectRef idx="0"/>
    <cs:fontRef idx="minor">
      <a:schemeClr val="lt1"/>
    </cs:fontRef>
    <cs:spPr>
      <a:solidFill>
        <a:schemeClr val="lt1">
          <a:lumMod val="95000"/>
        </a:schemeClr>
      </a:solidFill>
      <a:ln w="9525">
        <a:solidFill>
          <a:schemeClr val="phClr">
            <a:lumMod val="60000"/>
            <a:lumOff val="40000"/>
          </a:schemeClr>
        </a:solidFill>
      </a:ln>
    </cs:spPr>
  </cs:upBar>
  <cs:valueAxis>
    <cs:lnRef idx="0"/>
    <cs:fillRef idx="0"/>
    <cs:effectRef idx="0"/>
    <cs:fontRef idx="minor">
      <a:schemeClr val="lt1"/>
    </cs:fontRef>
    <cs:defRPr sz="900" kern="1200"/>
    <cs:bodyPr/>
  </cs:valueAxis>
  <cs:wall>
    <cs:lnRef idx="0"/>
    <cs:fillRef idx="0"/>
    <cs:effectRef idx="0"/>
    <cs:fontRef idx="minor">
      <a:schemeClr val="lt1"/>
    </cs:fontRef>
  </cs:wall>
</cs:chartStyle>
</file>

<file path=xl/charts/style11.xml><?xml version="1.0" encoding="utf-8"?>
<cs:chartStyle xmlns:cs="http://schemas.microsoft.com/office/drawing/2012/chartStyle" xmlns:a="http://schemas.openxmlformats.org/drawingml/2006/main" id="285">
  <cs:axisTitle>
    <cs:lnRef idx="0"/>
    <cs:fillRef idx="0"/>
    <cs:effectRef idx="0"/>
    <cs:fontRef idx="minor">
      <a:schemeClr val="lt1"/>
    </cs:fontRef>
    <cs:defRPr sz="900" kern="1200"/>
  </cs:axisTitle>
  <cs:categoryAxis>
    <cs:lnRef idx="0">
      <cs:styleClr val="0"/>
    </cs:lnRef>
    <cs:fillRef idx="0"/>
    <cs:effectRef idx="0"/>
    <cs:fontRef idx="minor">
      <a:schemeClr val="lt1"/>
    </cs:fontRef>
    <cs:spPr>
      <a:ln w="9525" cap="flat" cmpd="sng" algn="ctr">
        <a:solidFill>
          <a:schemeClr val="phClr">
            <a:lumMod val="40000"/>
            <a:lumOff val="60000"/>
            <a:alpha val="25000"/>
          </a:schemeClr>
        </a:solidFill>
        <a:round/>
      </a:ln>
    </cs:spPr>
    <cs:defRPr sz="900" kern="1200"/>
  </cs:categoryAxis>
  <cs:chartArea>
    <cs:lnRef idx="0">
      <cs:styleClr val="0"/>
    </cs:lnRef>
    <cs:fillRef idx="0">
      <cs:styleClr val="0"/>
    </cs:fillRef>
    <cs:effectRef idx="0"/>
    <cs:fontRef idx="minor">
      <a:schemeClr val="lt1"/>
    </cs:fontRef>
    <cs:spPr>
      <a:solidFill>
        <a:schemeClr val="phClr"/>
      </a:solidFill>
      <a:ln w="9525" cap="flat" cmpd="sng" algn="ctr">
        <a:solidFill>
          <a:schemeClr val="phClr"/>
        </a:solidFill>
        <a:round/>
      </a:ln>
    </cs:spPr>
    <cs:defRPr sz="900" kern="1200"/>
  </cs:chartArea>
  <cs:dataLabel>
    <cs:lnRef idx="0"/>
    <cs:fillRef idx="0"/>
    <cs:effectRef idx="0"/>
    <cs:fontRef idx="minor">
      <a:schemeClr val="lt1"/>
    </cs:fontRef>
    <cs:defRPr sz="900" b="1" kern="1200"/>
  </cs:dataLabel>
  <cs:dataLabelCallout>
    <cs:lnRef idx="0">
      <cs:styleClr val="auto"/>
    </cs:lnRef>
    <cs:fillRef idx="0"/>
    <cs:effectRef idx="0"/>
    <cs:fontRef idx="minor">
      <cs:styleClr val="auto"/>
    </cs:fontRef>
    <cs:spPr>
      <a:solidFill>
        <a:schemeClr val="lt1"/>
      </a:solidFill>
      <a:ln>
        <a:solidFill>
          <a:schemeClr val="phClr"/>
        </a:solidFill>
      </a:ln>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0"/>
    <cs:effectRef idx="0"/>
    <cs:fontRef idx="minor">
      <a:schemeClr val="tx1"/>
    </cs:fontRef>
    <cs:spPr>
      <a:gradFill>
        <a:gsLst>
          <a:gs pos="0">
            <a:schemeClr val="lt1">
              <a:alpha val="50000"/>
            </a:schemeClr>
          </a:gs>
          <a:gs pos="100000">
            <a:schemeClr val="lt1">
              <a:alpha val="0"/>
            </a:schemeClr>
          </a:gs>
        </a:gsLst>
        <a:lin ang="5400000" scaled="0"/>
      </a:gradFill>
      <a:ln>
        <a:solidFill>
          <a:schemeClr val="phClr"/>
        </a:solidFill>
      </a:ln>
      <a:effectLst>
        <a:innerShdw dist="38100" dir="16200000">
          <a:schemeClr val="lt1"/>
        </a:innerShdw>
      </a:effectLst>
    </cs:spPr>
  </cs:dataPoint>
  <cs:dataPoint3D>
    <cs:lnRef idx="0">
      <cs:styleClr val="auto"/>
    </cs:lnRef>
    <cs:fillRef idx="0"/>
    <cs:effectRef idx="0"/>
    <cs:fontRef idx="minor">
      <a:schemeClr val="lt1"/>
    </cs:fontRef>
    <cs:spPr>
      <a:gradFill>
        <a:gsLst>
          <a:gs pos="0">
            <a:schemeClr val="lt1">
              <a:alpha val="50000"/>
            </a:schemeClr>
          </a:gs>
          <a:gs pos="100000">
            <a:schemeClr val="lt1">
              <a:alpha val="0"/>
            </a:schemeClr>
          </a:gs>
        </a:gsLst>
        <a:lin ang="5400000" scaled="0"/>
      </a:gradFill>
      <a:ln>
        <a:solidFill>
          <a:schemeClr val="phClr"/>
        </a:solidFill>
      </a:ln>
      <a:effectLst>
        <a:innerShdw dist="38100" dir="16200000">
          <a:schemeClr val="lt1"/>
        </a:innerShdw>
      </a:effectLst>
    </cs:spPr>
  </cs:dataPoint3D>
  <cs:dataPointLine>
    <cs:lnRef idx="0">
      <cs:styleClr val="auto"/>
    </cs:lnRef>
    <cs:fillRef idx="0"/>
    <cs:effectRef idx="0">
      <cs:styleClr val="auto"/>
    </cs:effectRef>
    <cs:fontRef idx="minor">
      <a:schemeClr val="lt1"/>
    </cs:fontRef>
    <cs:spPr>
      <a:ln w="34925" cap="rnd">
        <a:solidFill>
          <a:schemeClr val="lt1"/>
        </a:solidFill>
        <a:round/>
      </a:ln>
      <a:effectLst>
        <a:outerShdw dist="25400" dir="2700000" algn="tl" rotWithShape="0">
          <a:schemeClr val="phClr"/>
        </a:outerShdw>
      </a:effectLst>
    </cs:spPr>
  </cs:dataPointLine>
  <cs:dataPointMarker>
    <cs:lnRef idx="0"/>
    <cs:fillRef idx="0">
      <cs:styleClr val="auto"/>
    </cs:fillRef>
    <cs:effectRef idx="0"/>
    <cs:fontRef idx="minor">
      <a:schemeClr val="lt1"/>
    </cs:fontRef>
    <cs:spPr>
      <a:solidFill>
        <a:schemeClr val="phClr"/>
      </a:solidFill>
      <a:ln w="22225">
        <a:solidFill>
          <a:schemeClr val="lt1"/>
        </a:solidFill>
        <a:round/>
      </a:ln>
    </cs:spPr>
  </cs:dataPointMarker>
  <cs:dataPointMarkerLayout symbol="circle" size="5"/>
  <cs:dataPointWireframe>
    <cs:lnRef idx="0">
      <cs:styleClr val="auto"/>
    </cs:lnRef>
    <cs:fillRef idx="0"/>
    <cs:effectRef idx="0"/>
    <cs:fontRef idx="minor">
      <a:schemeClr val="lt1"/>
    </cs:fontRef>
    <cs:spPr>
      <a:ln w="9525" cap="rnd">
        <a:solidFill>
          <a:schemeClr val="phClr"/>
        </a:solidFill>
        <a:round/>
      </a:ln>
    </cs:spPr>
  </cs:dataPointWireframe>
  <cs:dataTable>
    <cs:lnRef idx="0">
      <cs:styleClr val="0"/>
    </cs:lnRef>
    <cs:fillRef idx="0"/>
    <cs:effectRef idx="0"/>
    <cs:fontRef idx="minor">
      <a:schemeClr val="lt1"/>
    </cs:fontRef>
    <cs:spPr>
      <a:ln w="9525">
        <a:solidFill>
          <a:schemeClr val="phClr">
            <a:lumMod val="40000"/>
            <a:lumOff val="60000"/>
            <a:alpha val="25000"/>
          </a:schemeClr>
        </a:solidFill>
      </a:ln>
    </cs:spPr>
    <cs:defRPr sz="900" kern="1200"/>
  </cs:dataTable>
  <cs:downBar>
    <cs:lnRef idx="0">
      <cs:styleClr val="0"/>
    </cs:lnRef>
    <cs:fillRef idx="0"/>
    <cs:effectRef idx="0"/>
    <cs:fontRef idx="minor">
      <a:schemeClr val="lt1"/>
    </cs:fontRef>
    <cs:spPr>
      <a:solidFill>
        <a:schemeClr val="dk1">
          <a:lumMod val="35000"/>
          <a:lumOff val="65000"/>
        </a:schemeClr>
      </a:solidFill>
      <a:ln w="9525">
        <a:solidFill>
          <a:schemeClr val="phClr">
            <a:lumMod val="60000"/>
            <a:lumOff val="40000"/>
          </a:schemeClr>
        </a:solidFill>
      </a:ln>
    </cs:spPr>
  </cs:downBar>
  <cs:dropLine>
    <cs:lnRef idx="0"/>
    <cs:fillRef idx="0"/>
    <cs:effectRef idx="0"/>
    <cs:fontRef idx="minor">
      <a:schemeClr val="lt1"/>
    </cs:fontRef>
    <cs:spPr>
      <a:ln w="9525" cap="flat" cmpd="sng" algn="ctr">
        <a:gradFill>
          <a:gsLst>
            <a:gs pos="0">
              <a:schemeClr val="lt1"/>
            </a:gs>
            <a:gs pos="50000">
              <a:schemeClr val="lt1">
                <a:alpha val="0"/>
              </a:schemeClr>
            </a:gs>
          </a:gsLst>
          <a:lin ang="5400000" scaled="0"/>
        </a:gradFill>
        <a:round/>
      </a:ln>
    </cs:spPr>
  </cs:dropLine>
  <cs:errorBar>
    <cs:lnRef idx="0">
      <cs:styleClr val="0"/>
    </cs:lnRef>
    <cs:fillRef idx="0"/>
    <cs:effectRef idx="0"/>
    <cs:fontRef idx="minor">
      <a:schemeClr val="lt1"/>
    </cs:fontRef>
    <cs:spPr>
      <a:ln w="9525">
        <a:solidFill>
          <a:schemeClr val="phClr">
            <a:lumMod val="60000"/>
            <a:lumOff val="40000"/>
          </a:schemeClr>
        </a:solidFill>
        <a:round/>
      </a:ln>
      <a:effectLst>
        <a:glow rad="25400">
          <a:schemeClr val="lt1"/>
        </a:glow>
      </a:effectLst>
    </cs:spPr>
  </cs:errorBar>
  <cs:floor>
    <cs:lnRef idx="0"/>
    <cs:fillRef idx="0"/>
    <cs:effectRef idx="0"/>
    <cs:fontRef idx="minor">
      <a:schemeClr val="lt1"/>
    </cs:fontRef>
  </cs:floor>
  <cs:gridlineMajor>
    <cs:lnRef idx="0">
      <cs:styleClr val="0"/>
    </cs:lnRef>
    <cs:fillRef idx="0"/>
    <cs:effectRef idx="0"/>
    <cs:fontRef idx="minor">
      <a:schemeClr val="lt1"/>
    </cs:fontRef>
    <cs:spPr>
      <a:ln>
        <a:solidFill>
          <a:schemeClr val="phClr">
            <a:lumMod val="40000"/>
            <a:lumOff val="60000"/>
            <a:alpha val="25000"/>
          </a:schemeClr>
        </a:solidFill>
      </a:ln>
    </cs:spPr>
  </cs:gridlineMajor>
  <cs:gridlineMinor>
    <cs:lnRef idx="0">
      <cs:styleClr val="0"/>
    </cs:lnRef>
    <cs:fillRef idx="0"/>
    <cs:effectRef idx="0"/>
    <cs:fontRef idx="minor">
      <a:schemeClr val="lt1"/>
    </cs:fontRef>
    <cs:spPr>
      <a:ln>
        <a:solidFill>
          <a:schemeClr val="phClr">
            <a:lumMod val="40000"/>
            <a:lumOff val="60000"/>
            <a:alpha val="25000"/>
          </a:schemeClr>
        </a:solidFill>
      </a:ln>
    </cs:spPr>
  </cs:gridlineMinor>
  <cs:hiLoLine>
    <cs:lnRef idx="0">
      <cs:styleClr val="0"/>
    </cs:lnRef>
    <cs:fillRef idx="0"/>
    <cs:effectRef idx="0"/>
    <cs:fontRef idx="minor">
      <a:schemeClr val="lt1"/>
    </cs:fontRef>
    <cs:spPr>
      <a:ln w="9525">
        <a:solidFill>
          <a:schemeClr val="phClr">
            <a:lumMod val="60000"/>
            <a:lumOff val="40000"/>
          </a:schemeClr>
        </a:solidFill>
      </a:ln>
    </cs:spPr>
  </cs:hiLoLine>
  <cs:leaderLine>
    <cs:lnRef idx="0">
      <cs:styleClr val="0"/>
    </cs:lnRef>
    <cs:fillRef idx="0"/>
    <cs:effectRef idx="0"/>
    <cs:fontRef idx="minor">
      <a:schemeClr val="lt1"/>
    </cs:fontRef>
    <cs:spPr>
      <a:ln w="9525">
        <a:solidFill>
          <a:schemeClr val="phClr">
            <a:lumMod val="60000"/>
            <a:lumOff val="40000"/>
          </a:schemeClr>
        </a:solidFill>
      </a:ln>
    </cs:spPr>
  </cs:leaderLine>
  <cs:legend>
    <cs:lnRef idx="0"/>
    <cs:fillRef idx="0"/>
    <cs:effectRef idx="0"/>
    <cs:fontRef idx="minor">
      <a:schemeClr val="lt1"/>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styleClr val="0"/>
    </cs:lnRef>
    <cs:fillRef idx="0"/>
    <cs:effectRef idx="0"/>
    <cs:fontRef idx="minor">
      <a:schemeClr val="lt1"/>
    </cs:fontRef>
    <cs:spPr>
      <a:ln w="9525" cap="flat" cmpd="sng" algn="ctr">
        <a:solidFill>
          <a:schemeClr val="phClr">
            <a:lumMod val="40000"/>
            <a:lumOff val="60000"/>
            <a:alpha val="25000"/>
          </a:schemeClr>
        </a:solidFill>
        <a:round/>
      </a:ln>
    </cs:spPr>
    <cs:defRPr sz="900" kern="1200"/>
  </cs:seriesAxis>
  <cs:seriesLine>
    <cs:lnRef idx="0">
      <cs:styleClr val="0"/>
    </cs:lnRef>
    <cs:fillRef idx="0"/>
    <cs:effectRef idx="0"/>
    <cs:fontRef idx="minor">
      <a:schemeClr val="lt1"/>
    </cs:fontRef>
    <cs:spPr>
      <a:ln w="9525">
        <a:solidFill>
          <a:schemeClr val="phClr">
            <a:lumMod val="60000"/>
            <a:lumOff val="40000"/>
            <a:tint val="50000"/>
          </a:schemeClr>
        </a:solidFill>
        <a:prstDash val="dash"/>
      </a:ln>
    </cs:spPr>
  </cs:seriesLine>
  <cs:title>
    <cs:lnRef idx="0"/>
    <cs:fillRef idx="0"/>
    <cs:effectRef idx="0"/>
    <cs:fontRef idx="minor">
      <a:schemeClr val="lt1"/>
    </cs:fontRef>
    <cs:defRPr sz="1500" b="1" kern="1200" cap="all" spc="100" normalizeH="0" baseline="0"/>
  </cs:title>
  <cs:trendline>
    <cs:lnRef idx="0"/>
    <cs:fillRef idx="0"/>
    <cs:effectRef idx="0"/>
    <cs:fontRef idx="minor">
      <a:schemeClr val="lt1"/>
    </cs:fontRef>
    <cs:spPr>
      <a:ln w="28575" cap="rnd">
        <a:solidFill>
          <a:schemeClr val="lt1">
            <a:alpha val="50000"/>
          </a:schemeClr>
        </a:solidFill>
        <a:round/>
      </a:ln>
    </cs:spPr>
  </cs:trendline>
  <cs:trendlineLabel>
    <cs:lnRef idx="0"/>
    <cs:fillRef idx="0"/>
    <cs:effectRef idx="0"/>
    <cs:fontRef idx="minor">
      <a:schemeClr val="lt1"/>
    </cs:fontRef>
    <cs:defRPr sz="900" kern="1200"/>
  </cs:trendlineLabel>
  <cs:upBar>
    <cs:lnRef idx="0">
      <cs:styleClr val="0"/>
    </cs:lnRef>
    <cs:fillRef idx="0"/>
    <cs:effectRef idx="0"/>
    <cs:fontRef idx="minor">
      <a:schemeClr val="lt1"/>
    </cs:fontRef>
    <cs:spPr>
      <a:solidFill>
        <a:schemeClr val="lt1">
          <a:lumMod val="95000"/>
        </a:schemeClr>
      </a:solidFill>
      <a:ln w="9525">
        <a:solidFill>
          <a:schemeClr val="phClr">
            <a:lumMod val="60000"/>
            <a:lumOff val="40000"/>
          </a:schemeClr>
        </a:solidFill>
      </a:ln>
    </cs:spPr>
  </cs:upBar>
  <cs:valueAxis>
    <cs:lnRef idx="0"/>
    <cs:fillRef idx="0"/>
    <cs:effectRef idx="0"/>
    <cs:fontRef idx="minor">
      <a:schemeClr val="lt1"/>
    </cs:fontRef>
    <cs:defRPr sz="900" kern="1200"/>
    <cs:bodyPr/>
  </cs:valueAxis>
  <cs:wall>
    <cs:lnRef idx="0"/>
    <cs:fillRef idx="0"/>
    <cs:effectRef idx="0"/>
    <cs:fontRef idx="minor">
      <a:schemeClr val="lt1"/>
    </cs:fontRef>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8" Type="http://schemas.openxmlformats.org/officeDocument/2006/relationships/image" Target="../media/image7.svg"/><Relationship Id="rId13" Type="http://schemas.openxmlformats.org/officeDocument/2006/relationships/chart" Target="../charts/chart4.xml"/><Relationship Id="rId18" Type="http://schemas.openxmlformats.org/officeDocument/2006/relationships/chart" Target="../charts/chart8.xml"/><Relationship Id="rId3" Type="http://schemas.openxmlformats.org/officeDocument/2006/relationships/image" Target="../media/image2.png"/><Relationship Id="rId7" Type="http://schemas.openxmlformats.org/officeDocument/2006/relationships/image" Target="../media/image6.png"/><Relationship Id="rId12" Type="http://schemas.openxmlformats.org/officeDocument/2006/relationships/hyperlink" Target="#'satisfaction score daily trends'!A1"/><Relationship Id="rId17" Type="http://schemas.openxmlformats.org/officeDocument/2006/relationships/chart" Target="../charts/chart7.xml"/><Relationship Id="rId2" Type="http://schemas.openxmlformats.org/officeDocument/2006/relationships/hyperlink" Target="#'daily er no of patient'!A1"/><Relationship Id="rId16" Type="http://schemas.openxmlformats.org/officeDocument/2006/relationships/chart" Target="../charts/chart6.xml"/><Relationship Id="rId1" Type="http://schemas.openxmlformats.org/officeDocument/2006/relationships/image" Target="../media/image1.png"/><Relationship Id="rId6" Type="http://schemas.openxmlformats.org/officeDocument/2006/relationships/image" Target="../media/image5.svg"/><Relationship Id="rId11" Type="http://schemas.openxmlformats.org/officeDocument/2006/relationships/chart" Target="../charts/chart3.xml"/><Relationship Id="rId5" Type="http://schemas.openxmlformats.org/officeDocument/2006/relationships/image" Target="../media/image4.png"/><Relationship Id="rId15" Type="http://schemas.openxmlformats.org/officeDocument/2006/relationships/chart" Target="../charts/chart5.xml"/><Relationship Id="rId10" Type="http://schemas.openxmlformats.org/officeDocument/2006/relationships/hyperlink" Target="#'avg wait time daily trend'!A1"/><Relationship Id="rId4" Type="http://schemas.openxmlformats.org/officeDocument/2006/relationships/image" Target="../media/image3.svg"/><Relationship Id="rId9" Type="http://schemas.openxmlformats.org/officeDocument/2006/relationships/chart" Target="../charts/chart2.xml"/><Relationship Id="rId14" Type="http://schemas.openxmlformats.org/officeDocument/2006/relationships/image" Target="../media/image8.emf"/></Relationships>
</file>

<file path=xl/drawings/_rels/drawing3.xml.rels><?xml version="1.0" encoding="UTF-8" standalone="yes"?>
<Relationships xmlns="http://schemas.openxmlformats.org/package/2006/relationships"><Relationship Id="rId1" Type="http://schemas.openxmlformats.org/officeDocument/2006/relationships/chart" Target="../charts/chart9.xml"/></Relationships>
</file>

<file path=xl/drawings/_rels/drawing4.xml.rels><?xml version="1.0" encoding="UTF-8" standalone="yes"?>
<Relationships xmlns="http://schemas.openxmlformats.org/package/2006/relationships"><Relationship Id="rId3" Type="http://schemas.openxmlformats.org/officeDocument/2006/relationships/image" Target="../media/image11.svg"/><Relationship Id="rId2" Type="http://schemas.openxmlformats.org/officeDocument/2006/relationships/image" Target="../media/image10.png"/><Relationship Id="rId1" Type="http://schemas.openxmlformats.org/officeDocument/2006/relationships/hyperlink" Target="#Dashboard!A1"/></Relationships>
</file>

<file path=xl/drawings/_rels/drawing5.xml.rels><?xml version="1.0" encoding="UTF-8" standalone="yes"?>
<Relationships xmlns="http://schemas.openxmlformats.org/package/2006/relationships"><Relationship Id="rId1" Type="http://schemas.openxmlformats.org/officeDocument/2006/relationships/chart" Target="../charts/chart10.xml"/></Relationships>
</file>

<file path=xl/drawings/_rels/drawing6.xml.rels><?xml version="1.0" encoding="UTF-8" standalone="yes"?>
<Relationships xmlns="http://schemas.openxmlformats.org/package/2006/relationships"><Relationship Id="rId3" Type="http://schemas.openxmlformats.org/officeDocument/2006/relationships/image" Target="../media/image11.svg"/><Relationship Id="rId2" Type="http://schemas.openxmlformats.org/officeDocument/2006/relationships/image" Target="../media/image10.png"/><Relationship Id="rId1" Type="http://schemas.openxmlformats.org/officeDocument/2006/relationships/hyperlink" Target="#Dashboard!A1"/></Relationships>
</file>

<file path=xl/drawings/_rels/drawing7.xml.rels><?xml version="1.0" encoding="UTF-8" standalone="yes"?>
<Relationships xmlns="http://schemas.openxmlformats.org/package/2006/relationships"><Relationship Id="rId1" Type="http://schemas.openxmlformats.org/officeDocument/2006/relationships/chart" Target="../charts/chart11.xml"/></Relationships>
</file>

<file path=xl/drawings/_rels/drawing8.xml.rels><?xml version="1.0" encoding="UTF-8" standalone="yes"?>
<Relationships xmlns="http://schemas.openxmlformats.org/package/2006/relationships"><Relationship Id="rId3" Type="http://schemas.openxmlformats.org/officeDocument/2006/relationships/image" Target="../media/image11.svg"/><Relationship Id="rId2" Type="http://schemas.openxmlformats.org/officeDocument/2006/relationships/image" Target="../media/image10.png"/><Relationship Id="rId1" Type="http://schemas.openxmlformats.org/officeDocument/2006/relationships/hyperlink" Target="#Dashboard!A1"/></Relationships>
</file>

<file path=xl/drawings/_rels/vmlDrawing1.vml.rels><?xml version="1.0" encoding="UTF-8" standalone="yes"?>
<Relationships xmlns="http://schemas.openxmlformats.org/package/2006/relationships"><Relationship Id="rId1" Type="http://schemas.openxmlformats.org/officeDocument/2006/relationships/image" Target="../media/image9.emf"/></Relationships>
</file>

<file path=xl/drawings/drawing1.xml><?xml version="1.0" encoding="utf-8"?>
<xdr:wsDr xmlns:xdr="http://schemas.openxmlformats.org/drawingml/2006/spreadsheetDrawing" xmlns:a="http://schemas.openxmlformats.org/drawingml/2006/main">
  <xdr:twoCellAnchor>
    <xdr:from>
      <xdr:col>4</xdr:col>
      <xdr:colOff>2883</xdr:colOff>
      <xdr:row>57</xdr:row>
      <xdr:rowOff>2885</xdr:rowOff>
    </xdr:from>
    <xdr:to>
      <xdr:col>5</xdr:col>
      <xdr:colOff>601579</xdr:colOff>
      <xdr:row>58</xdr:row>
      <xdr:rowOff>164757</xdr:rowOff>
    </xdr:to>
    <xdr:graphicFrame macro="">
      <xdr:nvGraphicFramePr>
        <xdr:cNvPr id="8" name="Chart 7">
          <a:extLst>
            <a:ext uri="{FF2B5EF4-FFF2-40B4-BE49-F238E27FC236}">
              <a16:creationId xmlns:a16="http://schemas.microsoft.com/office/drawing/2014/main" id="{8A142B9A-B2EF-F67C-BF65-3CA79C4835F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editAs="absolute">
    <xdr:from>
      <xdr:col>0</xdr:col>
      <xdr:colOff>27214</xdr:colOff>
      <xdr:row>0</xdr:row>
      <xdr:rowOff>52793</xdr:rowOff>
    </xdr:from>
    <xdr:to>
      <xdr:col>5</xdr:col>
      <xdr:colOff>312964</xdr:colOff>
      <xdr:row>3</xdr:row>
      <xdr:rowOff>72570</xdr:rowOff>
    </xdr:to>
    <xdr:sp macro="" textlink="">
      <xdr:nvSpPr>
        <xdr:cNvPr id="2" name="Rectangle: Rounded Corners 1">
          <a:extLst>
            <a:ext uri="{FF2B5EF4-FFF2-40B4-BE49-F238E27FC236}">
              <a16:creationId xmlns:a16="http://schemas.microsoft.com/office/drawing/2014/main" id="{35A842AC-8CEA-0F29-4140-8DD4530C5257}"/>
            </a:ext>
          </a:extLst>
        </xdr:cNvPr>
        <xdr:cNvSpPr/>
      </xdr:nvSpPr>
      <xdr:spPr>
        <a:xfrm>
          <a:off x="27214" y="52793"/>
          <a:ext cx="3324679" cy="564063"/>
        </a:xfrm>
        <a:prstGeom prst="roundRect">
          <a:avLst/>
        </a:prstGeom>
        <a:solidFill>
          <a:schemeClr val="bg1">
            <a:lumMod val="95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editAs="absolute">
    <xdr:from>
      <xdr:col>5</xdr:col>
      <xdr:colOff>353786</xdr:colOff>
      <xdr:row>0</xdr:row>
      <xdr:rowOff>61865</xdr:rowOff>
    </xdr:from>
    <xdr:to>
      <xdr:col>7</xdr:col>
      <xdr:colOff>444500</xdr:colOff>
      <xdr:row>3</xdr:row>
      <xdr:rowOff>57508</xdr:rowOff>
    </xdr:to>
    <xdr:sp macro="" textlink="">
      <xdr:nvSpPr>
        <xdr:cNvPr id="3" name="Rectangle: Rounded Corners 2">
          <a:extLst>
            <a:ext uri="{FF2B5EF4-FFF2-40B4-BE49-F238E27FC236}">
              <a16:creationId xmlns:a16="http://schemas.microsoft.com/office/drawing/2014/main" id="{8031398B-9656-34F1-217C-92B0C3B68A77}"/>
            </a:ext>
          </a:extLst>
        </xdr:cNvPr>
        <xdr:cNvSpPr/>
      </xdr:nvSpPr>
      <xdr:spPr>
        <a:xfrm>
          <a:off x="3396994" y="61865"/>
          <a:ext cx="1307997" cy="541983"/>
        </a:xfrm>
        <a:prstGeom prst="roundRect">
          <a:avLst>
            <a:gd name="adj" fmla="val 8983"/>
          </a:avLst>
        </a:prstGeom>
        <a:solidFill>
          <a:schemeClr val="bg1">
            <a:lumMod val="95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editAs="absolute">
    <xdr:from>
      <xdr:col>7</xdr:col>
      <xdr:colOff>466921</xdr:colOff>
      <xdr:row>0</xdr:row>
      <xdr:rowOff>54427</xdr:rowOff>
    </xdr:from>
    <xdr:to>
      <xdr:col>10</xdr:col>
      <xdr:colOff>196490</xdr:colOff>
      <xdr:row>8</xdr:row>
      <xdr:rowOff>14377</xdr:rowOff>
    </xdr:to>
    <xdr:sp macro="" textlink="">
      <xdr:nvSpPr>
        <xdr:cNvPr id="4" name="Rectangle: Rounded Corners 3">
          <a:extLst>
            <a:ext uri="{FF2B5EF4-FFF2-40B4-BE49-F238E27FC236}">
              <a16:creationId xmlns:a16="http://schemas.microsoft.com/office/drawing/2014/main" id="{A6AB58F9-15AF-2823-11CA-E9E47B8AB6F8}"/>
            </a:ext>
          </a:extLst>
        </xdr:cNvPr>
        <xdr:cNvSpPr/>
      </xdr:nvSpPr>
      <xdr:spPr>
        <a:xfrm>
          <a:off x="4734121" y="54427"/>
          <a:ext cx="1558369" cy="1407750"/>
        </a:xfrm>
        <a:prstGeom prst="roundRect">
          <a:avLst>
            <a:gd name="adj" fmla="val 0"/>
          </a:avLst>
        </a:prstGeom>
        <a:solidFill>
          <a:schemeClr val="bg1">
            <a:lumMod val="95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editAs="absolute">
    <xdr:from>
      <xdr:col>10</xdr:col>
      <xdr:colOff>231453</xdr:colOff>
      <xdr:row>0</xdr:row>
      <xdr:rowOff>52388</xdr:rowOff>
    </xdr:from>
    <xdr:to>
      <xdr:col>12</xdr:col>
      <xdr:colOff>466725</xdr:colOff>
      <xdr:row>7</xdr:row>
      <xdr:rowOff>171450</xdr:rowOff>
    </xdr:to>
    <xdr:sp macro="" textlink="">
      <xdr:nvSpPr>
        <xdr:cNvPr id="5" name="Rectangle: Rounded Corners 4">
          <a:extLst>
            <a:ext uri="{FF2B5EF4-FFF2-40B4-BE49-F238E27FC236}">
              <a16:creationId xmlns:a16="http://schemas.microsoft.com/office/drawing/2014/main" id="{1C40C64C-BEB0-C950-3611-26177C867461}"/>
            </a:ext>
          </a:extLst>
        </xdr:cNvPr>
        <xdr:cNvSpPr/>
      </xdr:nvSpPr>
      <xdr:spPr>
        <a:xfrm>
          <a:off x="6327453" y="52388"/>
          <a:ext cx="1468760" cy="1385887"/>
        </a:xfrm>
        <a:prstGeom prst="roundRect">
          <a:avLst>
            <a:gd name="adj" fmla="val 984"/>
          </a:avLst>
        </a:prstGeom>
        <a:solidFill>
          <a:schemeClr val="bg1">
            <a:lumMod val="95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editAs="absolute">
    <xdr:from>
      <xdr:col>0</xdr:col>
      <xdr:colOff>28575</xdr:colOff>
      <xdr:row>3</xdr:row>
      <xdr:rowOff>121961</xdr:rowOff>
    </xdr:from>
    <xdr:to>
      <xdr:col>1</xdr:col>
      <xdr:colOff>340178</xdr:colOff>
      <xdr:row>16</xdr:row>
      <xdr:rowOff>158750</xdr:rowOff>
    </xdr:to>
    <xdr:sp macro="" textlink="">
      <xdr:nvSpPr>
        <xdr:cNvPr id="6" name="Rectangle: Rounded Corners 5">
          <a:extLst>
            <a:ext uri="{FF2B5EF4-FFF2-40B4-BE49-F238E27FC236}">
              <a16:creationId xmlns:a16="http://schemas.microsoft.com/office/drawing/2014/main" id="{48912BB4-814C-BD6A-1AAB-F6DA69E81908}"/>
            </a:ext>
          </a:extLst>
        </xdr:cNvPr>
        <xdr:cNvSpPr/>
      </xdr:nvSpPr>
      <xdr:spPr>
        <a:xfrm>
          <a:off x="28575" y="664886"/>
          <a:ext cx="921203" cy="2389464"/>
        </a:xfrm>
        <a:prstGeom prst="roundRect">
          <a:avLst>
            <a:gd name="adj" fmla="val 2175"/>
          </a:avLst>
        </a:prstGeom>
        <a:solidFill>
          <a:schemeClr val="bg1">
            <a:lumMod val="95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editAs="absolute">
    <xdr:from>
      <xdr:col>7</xdr:col>
      <xdr:colOff>486192</xdr:colOff>
      <xdr:row>8</xdr:row>
      <xdr:rowOff>57228</xdr:rowOff>
    </xdr:from>
    <xdr:to>
      <xdr:col>12</xdr:col>
      <xdr:colOff>461962</xdr:colOff>
      <xdr:row>16</xdr:row>
      <xdr:rowOff>171450</xdr:rowOff>
    </xdr:to>
    <xdr:sp macro="" textlink="">
      <xdr:nvSpPr>
        <xdr:cNvPr id="18" name="Rectangle: Rounded Corners 17">
          <a:extLst>
            <a:ext uri="{FF2B5EF4-FFF2-40B4-BE49-F238E27FC236}">
              <a16:creationId xmlns:a16="http://schemas.microsoft.com/office/drawing/2014/main" id="{6E9A049D-18C1-38EE-831C-AE3970FC297D}"/>
            </a:ext>
          </a:extLst>
        </xdr:cNvPr>
        <xdr:cNvSpPr/>
      </xdr:nvSpPr>
      <xdr:spPr>
        <a:xfrm>
          <a:off x="4753392" y="1505028"/>
          <a:ext cx="3038058" cy="1562022"/>
        </a:xfrm>
        <a:prstGeom prst="roundRect">
          <a:avLst>
            <a:gd name="adj" fmla="val 2312"/>
          </a:avLst>
        </a:prstGeom>
        <a:solidFill>
          <a:schemeClr val="bg1">
            <a:lumMod val="95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editAs="absolute">
    <xdr:from>
      <xdr:col>1</xdr:col>
      <xdr:colOff>217714</xdr:colOff>
      <xdr:row>0</xdr:row>
      <xdr:rowOff>81643</xdr:rowOff>
    </xdr:from>
    <xdr:to>
      <xdr:col>5</xdr:col>
      <xdr:colOff>81642</xdr:colOff>
      <xdr:row>2</xdr:row>
      <xdr:rowOff>13609</xdr:rowOff>
    </xdr:to>
    <xdr:sp macro="" textlink="">
      <xdr:nvSpPr>
        <xdr:cNvPr id="19" name="TextBox 18">
          <a:extLst>
            <a:ext uri="{FF2B5EF4-FFF2-40B4-BE49-F238E27FC236}">
              <a16:creationId xmlns:a16="http://schemas.microsoft.com/office/drawing/2014/main" id="{D6FF1B8F-72F5-6328-ACEA-0AE142821831}"/>
            </a:ext>
          </a:extLst>
        </xdr:cNvPr>
        <xdr:cNvSpPr txBox="1"/>
      </xdr:nvSpPr>
      <xdr:spPr>
        <a:xfrm>
          <a:off x="825500" y="81643"/>
          <a:ext cx="2295071" cy="29482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ctr"/>
        <a:lstStyle/>
        <a:p>
          <a:pPr algn="ctr"/>
          <a:r>
            <a:rPr lang="en-IN" sz="1200"/>
            <a:t>Hospital</a:t>
          </a:r>
          <a:r>
            <a:rPr lang="en-IN" sz="1200" baseline="0"/>
            <a:t> Emergency Data Dashboard</a:t>
          </a:r>
          <a:endParaRPr lang="en-IN" sz="1200"/>
        </a:p>
      </xdr:txBody>
    </xdr:sp>
    <xdr:clientData/>
  </xdr:twoCellAnchor>
  <xdr:oneCellAnchor>
    <xdr:from>
      <xdr:col>4</xdr:col>
      <xdr:colOff>356960</xdr:colOff>
      <xdr:row>5</xdr:row>
      <xdr:rowOff>93889</xdr:rowOff>
    </xdr:from>
    <xdr:ext cx="65" cy="172227"/>
    <xdr:sp macro="" textlink="">
      <xdr:nvSpPr>
        <xdr:cNvPr id="20" name="TextBox 19">
          <a:extLst>
            <a:ext uri="{FF2B5EF4-FFF2-40B4-BE49-F238E27FC236}">
              <a16:creationId xmlns:a16="http://schemas.microsoft.com/office/drawing/2014/main" id="{5E52D64A-4D32-CDFE-783A-F04F15E670FB}"/>
            </a:ext>
          </a:extLst>
        </xdr:cNvPr>
        <xdr:cNvSpPr txBox="1"/>
      </xdr:nvSpPr>
      <xdr:spPr>
        <a:xfrm>
          <a:off x="2788103" y="1001032"/>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IN" sz="1100"/>
        </a:p>
      </xdr:txBody>
    </xdr:sp>
    <xdr:clientData/>
  </xdr:oneCellAnchor>
  <xdr:twoCellAnchor editAs="oneCell">
    <xdr:from>
      <xdr:col>0</xdr:col>
      <xdr:colOff>176894</xdr:colOff>
      <xdr:row>0</xdr:row>
      <xdr:rowOff>54430</xdr:rowOff>
    </xdr:from>
    <xdr:to>
      <xdr:col>1</xdr:col>
      <xdr:colOff>154215</xdr:colOff>
      <xdr:row>3</xdr:row>
      <xdr:rowOff>54429</xdr:rowOff>
    </xdr:to>
    <xdr:pic>
      <xdr:nvPicPr>
        <xdr:cNvPr id="22" name="Picture 21">
          <a:extLst>
            <a:ext uri="{FF2B5EF4-FFF2-40B4-BE49-F238E27FC236}">
              <a16:creationId xmlns:a16="http://schemas.microsoft.com/office/drawing/2014/main" id="{F3FB12BC-55E1-D7E7-2D7D-FCAC30D96539}"/>
            </a:ext>
          </a:extLst>
        </xdr:cNvPr>
        <xdr:cNvPicPr>
          <a:picLocks noChangeAspect="1"/>
        </xdr:cNvPicPr>
      </xdr:nvPicPr>
      <xdr:blipFill rotWithShape="1">
        <a:blip xmlns:r="http://schemas.openxmlformats.org/officeDocument/2006/relationships" r:embed="rId1" cstate="print">
          <a:extLst>
            <a:ext uri="{28A0092B-C50C-407E-A947-70E740481C1C}">
              <a14:useLocalDpi xmlns:a14="http://schemas.microsoft.com/office/drawing/2010/main" val="0"/>
            </a:ext>
          </a:extLst>
        </a:blip>
        <a:srcRect l="22435" t="-1818" r="17949" b="1818"/>
        <a:stretch>
          <a:fillRect/>
        </a:stretch>
      </xdr:blipFill>
      <xdr:spPr>
        <a:xfrm>
          <a:off x="176894" y="54430"/>
          <a:ext cx="585107" cy="544285"/>
        </a:xfrm>
        <a:prstGeom prst="rect">
          <a:avLst/>
        </a:prstGeom>
      </xdr:spPr>
    </xdr:pic>
    <xdr:clientData/>
  </xdr:twoCellAnchor>
  <xdr:twoCellAnchor editAs="absolute">
    <xdr:from>
      <xdr:col>1</xdr:col>
      <xdr:colOff>494393</xdr:colOff>
      <xdr:row>1</xdr:row>
      <xdr:rowOff>149679</xdr:rowOff>
    </xdr:from>
    <xdr:to>
      <xdr:col>4</xdr:col>
      <xdr:colOff>308428</xdr:colOff>
      <xdr:row>3</xdr:row>
      <xdr:rowOff>2</xdr:rowOff>
    </xdr:to>
    <xdr:sp macro="" textlink="">
      <xdr:nvSpPr>
        <xdr:cNvPr id="29" name="TextBox 28">
          <a:extLst>
            <a:ext uri="{FF2B5EF4-FFF2-40B4-BE49-F238E27FC236}">
              <a16:creationId xmlns:a16="http://schemas.microsoft.com/office/drawing/2014/main" id="{BE685A8C-1E27-E812-E22A-76283148A43F}"/>
            </a:ext>
          </a:extLst>
        </xdr:cNvPr>
        <xdr:cNvSpPr txBox="1"/>
      </xdr:nvSpPr>
      <xdr:spPr>
        <a:xfrm>
          <a:off x="1102179" y="331108"/>
          <a:ext cx="1637392" cy="21318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ctr"/>
        <a:lstStyle/>
        <a:p>
          <a:pPr algn="ctr"/>
          <a:r>
            <a:rPr lang="en-IN" sz="900"/>
            <a:t>Monthly</a:t>
          </a:r>
          <a:r>
            <a:rPr lang="en-IN" sz="900" baseline="0"/>
            <a:t> Report</a:t>
          </a:r>
          <a:endParaRPr lang="en-IN" sz="900"/>
        </a:p>
      </xdr:txBody>
    </xdr:sp>
    <xdr:clientData/>
  </xdr:twoCellAnchor>
  <xdr:twoCellAnchor editAs="absolute">
    <xdr:from>
      <xdr:col>1</xdr:col>
      <xdr:colOff>254001</xdr:colOff>
      <xdr:row>4</xdr:row>
      <xdr:rowOff>104322</xdr:rowOff>
    </xdr:from>
    <xdr:to>
      <xdr:col>3</xdr:col>
      <xdr:colOff>86179</xdr:colOff>
      <xdr:row>5</xdr:row>
      <xdr:rowOff>136073</xdr:rowOff>
    </xdr:to>
    <xdr:sp macro="" textlink="">
      <xdr:nvSpPr>
        <xdr:cNvPr id="30" name="TextBox 29">
          <a:extLst>
            <a:ext uri="{FF2B5EF4-FFF2-40B4-BE49-F238E27FC236}">
              <a16:creationId xmlns:a16="http://schemas.microsoft.com/office/drawing/2014/main" id="{266D434F-3FB6-92ED-665A-7F8AF4721640}"/>
            </a:ext>
          </a:extLst>
        </xdr:cNvPr>
        <xdr:cNvSpPr txBox="1"/>
      </xdr:nvSpPr>
      <xdr:spPr>
        <a:xfrm>
          <a:off x="861787" y="830036"/>
          <a:ext cx="1047749" cy="21318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ctr"/>
        <a:lstStyle/>
        <a:p>
          <a:pPr algn="ctr"/>
          <a:r>
            <a:rPr lang="en-IN" sz="900"/>
            <a:t>Monthly</a:t>
          </a:r>
          <a:r>
            <a:rPr lang="en-IN" sz="900" baseline="0"/>
            <a:t> Report</a:t>
          </a:r>
          <a:endParaRPr lang="en-IN" sz="900"/>
        </a:p>
      </xdr:txBody>
    </xdr:sp>
    <xdr:clientData/>
  </xdr:twoCellAnchor>
  <xdr:twoCellAnchor editAs="absolute">
    <xdr:from>
      <xdr:col>1</xdr:col>
      <xdr:colOff>353785</xdr:colOff>
      <xdr:row>3</xdr:row>
      <xdr:rowOff>104321</xdr:rowOff>
    </xdr:from>
    <xdr:to>
      <xdr:col>7</xdr:col>
      <xdr:colOff>425565</xdr:colOff>
      <xdr:row>8</xdr:row>
      <xdr:rowOff>51791</xdr:rowOff>
    </xdr:to>
    <xdr:grpSp>
      <xdr:nvGrpSpPr>
        <xdr:cNvPr id="32" name="Group 31">
          <a:extLst>
            <a:ext uri="{FF2B5EF4-FFF2-40B4-BE49-F238E27FC236}">
              <a16:creationId xmlns:a16="http://schemas.microsoft.com/office/drawing/2014/main" id="{DF6DFCF3-CE58-09AF-8115-F687ED337067}"/>
            </a:ext>
          </a:extLst>
        </xdr:cNvPr>
        <xdr:cNvGrpSpPr/>
      </xdr:nvGrpSpPr>
      <xdr:grpSpPr>
        <a:xfrm>
          <a:off x="962427" y="650661"/>
          <a:ext cx="3723629" cy="858036"/>
          <a:chOff x="698120" y="603250"/>
          <a:chExt cx="2737617" cy="866321"/>
        </a:xfrm>
      </xdr:grpSpPr>
      <xdr:sp macro="" textlink="">
        <xdr:nvSpPr>
          <xdr:cNvPr id="33" name="Rectangle: Rounded Corners 32">
            <a:hlinkClick xmlns:r="http://schemas.openxmlformats.org/officeDocument/2006/relationships" r:id="rId2"/>
            <a:extLst>
              <a:ext uri="{FF2B5EF4-FFF2-40B4-BE49-F238E27FC236}">
                <a16:creationId xmlns:a16="http://schemas.microsoft.com/office/drawing/2014/main" id="{907CD98F-C238-0CD0-C449-B6DCF7EED310}"/>
              </a:ext>
            </a:extLst>
          </xdr:cNvPr>
          <xdr:cNvSpPr/>
        </xdr:nvSpPr>
        <xdr:spPr>
          <a:xfrm>
            <a:off x="698120" y="607282"/>
            <a:ext cx="941101" cy="855800"/>
          </a:xfrm>
          <a:prstGeom prst="roundRect">
            <a:avLst>
              <a:gd name="adj" fmla="val 3162"/>
            </a:avLst>
          </a:prstGeom>
          <a:solidFill>
            <a:schemeClr val="bg1">
              <a:lumMod val="95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sp macro="" textlink="">
        <xdr:nvSpPr>
          <xdr:cNvPr id="34" name="Rectangle: Rounded Corners 33">
            <a:extLst>
              <a:ext uri="{FF2B5EF4-FFF2-40B4-BE49-F238E27FC236}">
                <a16:creationId xmlns:a16="http://schemas.microsoft.com/office/drawing/2014/main" id="{FDC482C9-4901-B051-69EC-B1982200C784}"/>
              </a:ext>
            </a:extLst>
          </xdr:cNvPr>
          <xdr:cNvSpPr/>
        </xdr:nvSpPr>
        <xdr:spPr>
          <a:xfrm>
            <a:off x="1664096" y="603250"/>
            <a:ext cx="860315" cy="866321"/>
          </a:xfrm>
          <a:prstGeom prst="roundRect">
            <a:avLst>
              <a:gd name="adj" fmla="val 2473"/>
            </a:avLst>
          </a:prstGeom>
          <a:solidFill>
            <a:schemeClr val="bg1">
              <a:lumMod val="95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sp macro="" textlink="">
        <xdr:nvSpPr>
          <xdr:cNvPr id="35" name="Rectangle: Rounded Corners 34">
            <a:extLst>
              <a:ext uri="{FF2B5EF4-FFF2-40B4-BE49-F238E27FC236}">
                <a16:creationId xmlns:a16="http://schemas.microsoft.com/office/drawing/2014/main" id="{261B97FA-8750-D712-E52E-CBCD9EEB4540}"/>
              </a:ext>
            </a:extLst>
          </xdr:cNvPr>
          <xdr:cNvSpPr/>
        </xdr:nvSpPr>
        <xdr:spPr>
          <a:xfrm>
            <a:off x="2550534" y="607131"/>
            <a:ext cx="885203" cy="855951"/>
          </a:xfrm>
          <a:prstGeom prst="roundRect">
            <a:avLst>
              <a:gd name="adj" fmla="val 4115"/>
            </a:avLst>
          </a:prstGeom>
          <a:solidFill>
            <a:schemeClr val="bg1">
              <a:lumMod val="95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grpSp>
    <xdr:clientData/>
  </xdr:twoCellAnchor>
  <xdr:twoCellAnchor editAs="absolute">
    <xdr:from>
      <xdr:col>1</xdr:col>
      <xdr:colOff>489855</xdr:colOff>
      <xdr:row>3</xdr:row>
      <xdr:rowOff>122464</xdr:rowOff>
    </xdr:from>
    <xdr:to>
      <xdr:col>3</xdr:col>
      <xdr:colOff>344713</xdr:colOff>
      <xdr:row>5</xdr:row>
      <xdr:rowOff>2830</xdr:rowOff>
    </xdr:to>
    <xdr:sp macro="" textlink="'pivot report'!A6">
      <xdr:nvSpPr>
        <xdr:cNvPr id="38" name="TextBox 37">
          <a:extLst>
            <a:ext uri="{FF2B5EF4-FFF2-40B4-BE49-F238E27FC236}">
              <a16:creationId xmlns:a16="http://schemas.microsoft.com/office/drawing/2014/main" id="{B710D4B2-91B1-C223-82E8-B7E2DB731D62}"/>
            </a:ext>
          </a:extLst>
        </xdr:cNvPr>
        <xdr:cNvSpPr txBox="1"/>
      </xdr:nvSpPr>
      <xdr:spPr>
        <a:xfrm>
          <a:off x="1097641" y="666750"/>
          <a:ext cx="1070429" cy="24039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ctr"/>
        <a:lstStyle/>
        <a:p>
          <a:pPr algn="ctr"/>
          <a:fld id="{105E58C3-6373-4F24-877D-1223EB91F7BC}" type="TxLink">
            <a:rPr lang="en-US" sz="1100" b="0" i="0" u="none" strike="noStrike">
              <a:solidFill>
                <a:srgbClr val="000000"/>
              </a:solidFill>
              <a:latin typeface="Calibri"/>
              <a:ea typeface="Calibri"/>
              <a:cs typeface="Calibri"/>
            </a:rPr>
            <a:pPr algn="ctr"/>
            <a:t>513</a:t>
          </a:fld>
          <a:endParaRPr lang="en-IN" sz="900"/>
        </a:p>
      </xdr:txBody>
    </xdr:sp>
    <xdr:clientData/>
  </xdr:twoCellAnchor>
  <xdr:twoCellAnchor editAs="absolute">
    <xdr:from>
      <xdr:col>1</xdr:col>
      <xdr:colOff>449036</xdr:colOff>
      <xdr:row>4</xdr:row>
      <xdr:rowOff>163287</xdr:rowOff>
    </xdr:from>
    <xdr:to>
      <xdr:col>3</xdr:col>
      <xdr:colOff>376465</xdr:colOff>
      <xdr:row>5</xdr:row>
      <xdr:rowOff>167821</xdr:rowOff>
    </xdr:to>
    <xdr:sp macro="" textlink="">
      <xdr:nvSpPr>
        <xdr:cNvPr id="39" name="TextBox 38">
          <a:extLst>
            <a:ext uri="{FF2B5EF4-FFF2-40B4-BE49-F238E27FC236}">
              <a16:creationId xmlns:a16="http://schemas.microsoft.com/office/drawing/2014/main" id="{22E50DC8-C6F7-B21D-C97F-1D807C741858}"/>
            </a:ext>
          </a:extLst>
        </xdr:cNvPr>
        <xdr:cNvSpPr txBox="1"/>
      </xdr:nvSpPr>
      <xdr:spPr>
        <a:xfrm>
          <a:off x="1056822" y="889001"/>
          <a:ext cx="1143000" cy="18596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ctr"/>
        <a:lstStyle/>
        <a:p>
          <a:pPr algn="ctr"/>
          <a:r>
            <a:rPr lang="en-IN" sz="800"/>
            <a:t>No</a:t>
          </a:r>
          <a:r>
            <a:rPr lang="en-IN" sz="800" baseline="0"/>
            <a:t> of Patient</a:t>
          </a:r>
        </a:p>
      </xdr:txBody>
    </xdr:sp>
    <xdr:clientData/>
  </xdr:twoCellAnchor>
  <xdr:twoCellAnchor editAs="absolute">
    <xdr:from>
      <xdr:col>5</xdr:col>
      <xdr:colOff>485319</xdr:colOff>
      <xdr:row>3</xdr:row>
      <xdr:rowOff>126999</xdr:rowOff>
    </xdr:from>
    <xdr:to>
      <xdr:col>7</xdr:col>
      <xdr:colOff>340177</xdr:colOff>
      <xdr:row>5</xdr:row>
      <xdr:rowOff>4535</xdr:rowOff>
    </xdr:to>
    <xdr:sp macro="" textlink="'pivot report'!B17">
      <xdr:nvSpPr>
        <xdr:cNvPr id="40" name="TextBox 39">
          <a:extLst>
            <a:ext uri="{FF2B5EF4-FFF2-40B4-BE49-F238E27FC236}">
              <a16:creationId xmlns:a16="http://schemas.microsoft.com/office/drawing/2014/main" id="{D32F2F8E-06F3-B6BE-51A7-12B94A2719B1}"/>
            </a:ext>
          </a:extLst>
        </xdr:cNvPr>
        <xdr:cNvSpPr txBox="1"/>
      </xdr:nvSpPr>
      <xdr:spPr>
        <a:xfrm>
          <a:off x="3524248" y="671285"/>
          <a:ext cx="1070429" cy="24039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ctr"/>
        <a:lstStyle/>
        <a:p>
          <a:pPr algn="ctr"/>
          <a:fld id="{221CAB3B-E29F-43BD-B8CC-0ADB2047DB6F}" type="TxLink">
            <a:rPr lang="en-US" sz="1100" b="0" i="0" u="none" strike="noStrike">
              <a:solidFill>
                <a:srgbClr val="000000"/>
              </a:solidFill>
              <a:latin typeface="Calibri"/>
              <a:ea typeface="Calibri"/>
              <a:cs typeface="Calibri"/>
            </a:rPr>
            <a:pPr algn="ctr"/>
            <a:t>4.96</a:t>
          </a:fld>
          <a:endParaRPr lang="en-IN" sz="900"/>
        </a:p>
      </xdr:txBody>
    </xdr:sp>
    <xdr:clientData/>
  </xdr:twoCellAnchor>
  <xdr:twoCellAnchor editAs="absolute">
    <xdr:from>
      <xdr:col>5</xdr:col>
      <xdr:colOff>449035</xdr:colOff>
      <xdr:row>5</xdr:row>
      <xdr:rowOff>4536</xdr:rowOff>
    </xdr:from>
    <xdr:to>
      <xdr:col>7</xdr:col>
      <xdr:colOff>376464</xdr:colOff>
      <xdr:row>6</xdr:row>
      <xdr:rowOff>9071</xdr:rowOff>
    </xdr:to>
    <xdr:sp macro="" textlink="">
      <xdr:nvSpPr>
        <xdr:cNvPr id="41" name="TextBox 40">
          <a:extLst>
            <a:ext uri="{FF2B5EF4-FFF2-40B4-BE49-F238E27FC236}">
              <a16:creationId xmlns:a16="http://schemas.microsoft.com/office/drawing/2014/main" id="{E099983B-DBC9-51AC-7ABD-CBA52BE5981E}"/>
            </a:ext>
          </a:extLst>
        </xdr:cNvPr>
        <xdr:cNvSpPr txBox="1"/>
      </xdr:nvSpPr>
      <xdr:spPr>
        <a:xfrm>
          <a:off x="3487964" y="911679"/>
          <a:ext cx="1143000" cy="18596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ctr"/>
        <a:lstStyle/>
        <a:p>
          <a:pPr algn="ctr"/>
          <a:r>
            <a:rPr lang="en-IN" sz="800" baseline="0"/>
            <a:t>Patient Satisfaction Score</a:t>
          </a:r>
        </a:p>
      </xdr:txBody>
    </xdr:sp>
    <xdr:clientData/>
  </xdr:twoCellAnchor>
  <xdr:twoCellAnchor editAs="absolute">
    <xdr:from>
      <xdr:col>3</xdr:col>
      <xdr:colOff>494391</xdr:colOff>
      <xdr:row>3</xdr:row>
      <xdr:rowOff>131535</xdr:rowOff>
    </xdr:from>
    <xdr:to>
      <xdr:col>5</xdr:col>
      <xdr:colOff>349248</xdr:colOff>
      <xdr:row>5</xdr:row>
      <xdr:rowOff>9071</xdr:rowOff>
    </xdr:to>
    <xdr:sp macro="" textlink="'pivot report'!B11">
      <xdr:nvSpPr>
        <xdr:cNvPr id="42" name="TextBox 41">
          <a:extLst>
            <a:ext uri="{FF2B5EF4-FFF2-40B4-BE49-F238E27FC236}">
              <a16:creationId xmlns:a16="http://schemas.microsoft.com/office/drawing/2014/main" id="{9336FCEC-56BC-5D72-F66E-03CF328B8DC1}"/>
            </a:ext>
          </a:extLst>
        </xdr:cNvPr>
        <xdr:cNvSpPr txBox="1"/>
      </xdr:nvSpPr>
      <xdr:spPr>
        <a:xfrm>
          <a:off x="2317748" y="675821"/>
          <a:ext cx="1070429" cy="24039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ctr"/>
        <a:lstStyle/>
        <a:p>
          <a:pPr algn="ctr"/>
          <a:fld id="{F93CAB5C-BE44-4A27-9E4A-E7A2FA53C40B}" type="TxLink">
            <a:rPr lang="en-US" sz="1100" b="0" i="0" u="none" strike="noStrike">
              <a:solidFill>
                <a:srgbClr val="000000"/>
              </a:solidFill>
              <a:latin typeface="Calibri"/>
              <a:ea typeface="Calibri"/>
              <a:cs typeface="Calibri"/>
            </a:rPr>
            <a:pPr algn="ctr"/>
            <a:t>36.32</a:t>
          </a:fld>
          <a:endParaRPr lang="en-IN" sz="900"/>
        </a:p>
      </xdr:txBody>
    </xdr:sp>
    <xdr:clientData/>
  </xdr:twoCellAnchor>
  <xdr:twoCellAnchor editAs="absolute">
    <xdr:from>
      <xdr:col>3</xdr:col>
      <xdr:colOff>480786</xdr:colOff>
      <xdr:row>4</xdr:row>
      <xdr:rowOff>172358</xdr:rowOff>
    </xdr:from>
    <xdr:to>
      <xdr:col>5</xdr:col>
      <xdr:colOff>408214</xdr:colOff>
      <xdr:row>5</xdr:row>
      <xdr:rowOff>176892</xdr:rowOff>
    </xdr:to>
    <xdr:sp macro="" textlink="">
      <xdr:nvSpPr>
        <xdr:cNvPr id="43" name="TextBox 42">
          <a:extLst>
            <a:ext uri="{FF2B5EF4-FFF2-40B4-BE49-F238E27FC236}">
              <a16:creationId xmlns:a16="http://schemas.microsoft.com/office/drawing/2014/main" id="{29A1D6D4-910C-4E33-767D-8D26DF521939}"/>
            </a:ext>
          </a:extLst>
        </xdr:cNvPr>
        <xdr:cNvSpPr txBox="1"/>
      </xdr:nvSpPr>
      <xdr:spPr>
        <a:xfrm>
          <a:off x="2304143" y="898072"/>
          <a:ext cx="1143000" cy="18596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ctr"/>
        <a:lstStyle/>
        <a:p>
          <a:pPr algn="ctr"/>
          <a:r>
            <a:rPr lang="en-IN" sz="800" baseline="0"/>
            <a:t>Average Wait Time</a:t>
          </a:r>
        </a:p>
      </xdr:txBody>
    </xdr:sp>
    <xdr:clientData/>
  </xdr:twoCellAnchor>
  <xdr:twoCellAnchor editAs="oneCell">
    <xdr:from>
      <xdr:col>3</xdr:col>
      <xdr:colOff>136072</xdr:colOff>
      <xdr:row>3</xdr:row>
      <xdr:rowOff>104319</xdr:rowOff>
    </xdr:from>
    <xdr:to>
      <xdr:col>3</xdr:col>
      <xdr:colOff>417286</xdr:colOff>
      <xdr:row>5</xdr:row>
      <xdr:rowOff>253</xdr:rowOff>
    </xdr:to>
    <xdr:pic>
      <xdr:nvPicPr>
        <xdr:cNvPr id="45" name="Graphic 44" descr="Group with solid fill">
          <a:extLst>
            <a:ext uri="{FF2B5EF4-FFF2-40B4-BE49-F238E27FC236}">
              <a16:creationId xmlns:a16="http://schemas.microsoft.com/office/drawing/2014/main" id="{739B825B-F0F1-BD31-2A28-07133A2B16B6}"/>
            </a:ext>
          </a:extLst>
        </xdr:cNvPr>
        <xdr:cNvPicPr>
          <a:picLocks noChangeAspect="1"/>
        </xdr:cNvPicPr>
      </xdr:nvPicPr>
      <xdr:blipFill>
        <a:blip xmlns:r="http://schemas.openxmlformats.org/officeDocument/2006/relationships" r:embed="rId3">
          <a:extLst>
            <a:ext uri="{96DAC541-7B7A-43D3-8B79-37D633B846F1}">
              <asvg:svgBlip xmlns:asvg="http://schemas.microsoft.com/office/drawing/2016/SVG/main" r:embed="rId4"/>
            </a:ext>
          </a:extLst>
        </a:blip>
        <a:stretch>
          <a:fillRect/>
        </a:stretch>
      </xdr:blipFill>
      <xdr:spPr>
        <a:xfrm>
          <a:off x="1959429" y="648605"/>
          <a:ext cx="281214" cy="258537"/>
        </a:xfrm>
        <a:prstGeom prst="rect">
          <a:avLst/>
        </a:prstGeom>
      </xdr:spPr>
    </xdr:pic>
    <xdr:clientData/>
  </xdr:twoCellAnchor>
  <xdr:twoCellAnchor editAs="oneCell">
    <xdr:from>
      <xdr:col>7</xdr:col>
      <xdr:colOff>145143</xdr:colOff>
      <xdr:row>3</xdr:row>
      <xdr:rowOff>131535</xdr:rowOff>
    </xdr:from>
    <xdr:to>
      <xdr:col>7</xdr:col>
      <xdr:colOff>426358</xdr:colOff>
      <xdr:row>4</xdr:row>
      <xdr:rowOff>145143</xdr:rowOff>
    </xdr:to>
    <xdr:pic>
      <xdr:nvPicPr>
        <xdr:cNvPr id="47" name="Graphic 46" descr="Customer review with solid fill">
          <a:extLst>
            <a:ext uri="{FF2B5EF4-FFF2-40B4-BE49-F238E27FC236}">
              <a16:creationId xmlns:a16="http://schemas.microsoft.com/office/drawing/2014/main" id="{003003F4-DF41-5D3C-FB29-8C20939499FF}"/>
            </a:ext>
          </a:extLst>
        </xdr:cNvPr>
        <xdr:cNvPicPr>
          <a:picLocks noChangeAspect="1"/>
        </xdr:cNvPicPr>
      </xdr:nvPicPr>
      <xdr:blipFill>
        <a:blip xmlns:r="http://schemas.openxmlformats.org/officeDocument/2006/relationships" r:embed="rId5">
          <a:extLst>
            <a:ext uri="{96DAC541-7B7A-43D3-8B79-37D633B846F1}">
              <asvg:svgBlip xmlns:asvg="http://schemas.microsoft.com/office/drawing/2016/SVG/main" r:embed="rId6"/>
            </a:ext>
          </a:extLst>
        </a:blip>
        <a:stretch>
          <a:fillRect/>
        </a:stretch>
      </xdr:blipFill>
      <xdr:spPr>
        <a:xfrm>
          <a:off x="4399643" y="675821"/>
          <a:ext cx="281215" cy="195036"/>
        </a:xfrm>
        <a:prstGeom prst="rect">
          <a:avLst/>
        </a:prstGeom>
      </xdr:spPr>
    </xdr:pic>
    <xdr:clientData/>
  </xdr:twoCellAnchor>
  <xdr:twoCellAnchor editAs="oneCell">
    <xdr:from>
      <xdr:col>5</xdr:col>
      <xdr:colOff>172357</xdr:colOff>
      <xdr:row>3</xdr:row>
      <xdr:rowOff>131535</xdr:rowOff>
    </xdr:from>
    <xdr:to>
      <xdr:col>5</xdr:col>
      <xdr:colOff>422887</xdr:colOff>
      <xdr:row>4</xdr:row>
      <xdr:rowOff>136071</xdr:rowOff>
    </xdr:to>
    <xdr:pic>
      <xdr:nvPicPr>
        <xdr:cNvPr id="49" name="Graphic 48" descr="Hourglass Finished with solid fill">
          <a:extLst>
            <a:ext uri="{FF2B5EF4-FFF2-40B4-BE49-F238E27FC236}">
              <a16:creationId xmlns:a16="http://schemas.microsoft.com/office/drawing/2014/main" id="{5BDB112E-9AE9-6B2A-153E-5FF4AF2AB23F}"/>
            </a:ext>
          </a:extLst>
        </xdr:cNvPr>
        <xdr:cNvPicPr>
          <a:picLocks noChangeAspect="1"/>
        </xdr:cNvPicPr>
      </xdr:nvPicPr>
      <xdr:blipFill>
        <a:blip xmlns:r="http://schemas.openxmlformats.org/officeDocument/2006/relationships" r:embed="rId7">
          <a:extLst>
            <a:ext uri="{96DAC541-7B7A-43D3-8B79-37D633B846F1}">
              <asvg:svgBlip xmlns:asvg="http://schemas.microsoft.com/office/drawing/2016/SVG/main" r:embed="rId8"/>
            </a:ext>
          </a:extLst>
        </a:blip>
        <a:stretch>
          <a:fillRect/>
        </a:stretch>
      </xdr:blipFill>
      <xdr:spPr>
        <a:xfrm>
          <a:off x="3211286" y="675821"/>
          <a:ext cx="250530" cy="185964"/>
        </a:xfrm>
        <a:prstGeom prst="rect">
          <a:avLst/>
        </a:prstGeom>
      </xdr:spPr>
    </xdr:pic>
    <xdr:clientData/>
  </xdr:twoCellAnchor>
  <xdr:twoCellAnchor editAs="absolute">
    <xdr:from>
      <xdr:col>1</xdr:col>
      <xdr:colOff>385534</xdr:colOff>
      <xdr:row>11</xdr:row>
      <xdr:rowOff>40818</xdr:rowOff>
    </xdr:from>
    <xdr:to>
      <xdr:col>7</xdr:col>
      <xdr:colOff>449035</xdr:colOff>
      <xdr:row>16</xdr:row>
      <xdr:rowOff>172356</xdr:rowOff>
    </xdr:to>
    <xdr:sp macro="" textlink="">
      <xdr:nvSpPr>
        <xdr:cNvPr id="50" name="Rectangle: Rounded Corners 49">
          <a:extLst>
            <a:ext uri="{FF2B5EF4-FFF2-40B4-BE49-F238E27FC236}">
              <a16:creationId xmlns:a16="http://schemas.microsoft.com/office/drawing/2014/main" id="{174B1E00-B3D5-62D9-E8AF-1EEFE4F0C096}"/>
            </a:ext>
          </a:extLst>
        </xdr:cNvPr>
        <xdr:cNvSpPr/>
      </xdr:nvSpPr>
      <xdr:spPr>
        <a:xfrm>
          <a:off x="993320" y="2036532"/>
          <a:ext cx="3710215" cy="1038681"/>
        </a:xfrm>
        <a:prstGeom prst="roundRect">
          <a:avLst>
            <a:gd name="adj" fmla="val 0"/>
          </a:avLst>
        </a:prstGeom>
        <a:solidFill>
          <a:schemeClr val="bg1">
            <a:lumMod val="95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editAs="absolute">
    <xdr:from>
      <xdr:col>1</xdr:col>
      <xdr:colOff>362857</xdr:colOff>
      <xdr:row>8</xdr:row>
      <xdr:rowOff>87460</xdr:rowOff>
    </xdr:from>
    <xdr:to>
      <xdr:col>7</xdr:col>
      <xdr:colOff>448522</xdr:colOff>
      <xdr:row>11</xdr:row>
      <xdr:rowOff>19426</xdr:rowOff>
    </xdr:to>
    <xdr:sp macro="" textlink="">
      <xdr:nvSpPr>
        <xdr:cNvPr id="51" name="Rectangle: Rounded Corners 50">
          <a:extLst>
            <a:ext uri="{FF2B5EF4-FFF2-40B4-BE49-F238E27FC236}">
              <a16:creationId xmlns:a16="http://schemas.microsoft.com/office/drawing/2014/main" id="{FBDC0C13-790C-7122-CDA8-7AA8BBE0E680}"/>
            </a:ext>
          </a:extLst>
        </xdr:cNvPr>
        <xdr:cNvSpPr/>
      </xdr:nvSpPr>
      <xdr:spPr>
        <a:xfrm>
          <a:off x="970643" y="1538889"/>
          <a:ext cx="3732379" cy="476251"/>
        </a:xfrm>
        <a:prstGeom prst="roundRect">
          <a:avLst>
            <a:gd name="adj" fmla="val 0"/>
          </a:avLst>
        </a:prstGeom>
        <a:solidFill>
          <a:schemeClr val="bg1">
            <a:lumMod val="95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editAs="oneCell">
    <xdr:from>
      <xdr:col>0</xdr:col>
      <xdr:colOff>57151</xdr:colOff>
      <xdr:row>3</xdr:row>
      <xdr:rowOff>172356</xdr:rowOff>
    </xdr:from>
    <xdr:to>
      <xdr:col>1</xdr:col>
      <xdr:colOff>303893</xdr:colOff>
      <xdr:row>16</xdr:row>
      <xdr:rowOff>108856</xdr:rowOff>
    </xdr:to>
    <mc:AlternateContent xmlns:mc="http://schemas.openxmlformats.org/markup-compatibility/2006" xmlns:a14="http://schemas.microsoft.com/office/drawing/2010/main">
      <mc:Choice Requires="a14">
        <xdr:graphicFrame macro="">
          <xdr:nvGraphicFramePr>
            <xdr:cNvPr id="52" name="Date (Month) 1">
              <a:extLst>
                <a:ext uri="{FF2B5EF4-FFF2-40B4-BE49-F238E27FC236}">
                  <a16:creationId xmlns:a16="http://schemas.microsoft.com/office/drawing/2014/main" id="{8B41F79D-60BD-4B71-B1FA-E2E476B48639}"/>
                </a:ext>
              </a:extLst>
            </xdr:cNvPr>
            <xdr:cNvGraphicFramePr/>
          </xdr:nvGraphicFramePr>
          <xdr:xfrm>
            <a:off x="0" y="0"/>
            <a:ext cx="0" cy="0"/>
          </xdr:xfrm>
          <a:graphic>
            <a:graphicData uri="http://schemas.microsoft.com/office/drawing/2010/slicer">
              <sle:slicer xmlns:sle="http://schemas.microsoft.com/office/drawing/2010/slicer" name="Date (Month) 1"/>
            </a:graphicData>
          </a:graphic>
        </xdr:graphicFrame>
      </mc:Choice>
      <mc:Fallback xmlns="">
        <xdr:sp macro="" textlink="">
          <xdr:nvSpPr>
            <xdr:cNvPr id="0" name=""/>
            <xdr:cNvSpPr>
              <a:spLocks noTextEdit="1"/>
            </xdr:cNvSpPr>
          </xdr:nvSpPr>
          <xdr:spPr>
            <a:xfrm>
              <a:off x="57151" y="715281"/>
              <a:ext cx="856342" cy="22891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xdr:col>
      <xdr:colOff>390327</xdr:colOff>
      <xdr:row>5</xdr:row>
      <xdr:rowOff>172015</xdr:rowOff>
    </xdr:from>
    <xdr:to>
      <xdr:col>3</xdr:col>
      <xdr:colOff>435429</xdr:colOff>
      <xdr:row>8</xdr:row>
      <xdr:rowOff>31237</xdr:rowOff>
    </xdr:to>
    <xdr:graphicFrame macro="">
      <xdr:nvGraphicFramePr>
        <xdr:cNvPr id="54" name="Chart 53">
          <a:hlinkClick xmlns:r="http://schemas.openxmlformats.org/officeDocument/2006/relationships" r:id="rId2"/>
          <a:extLst>
            <a:ext uri="{FF2B5EF4-FFF2-40B4-BE49-F238E27FC236}">
              <a16:creationId xmlns:a16="http://schemas.microsoft.com/office/drawing/2014/main" id="{88EABD05-6D95-45AA-8326-048B21D2009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xdr:from>
      <xdr:col>3</xdr:col>
      <xdr:colOff>482224</xdr:colOff>
      <xdr:row>6</xdr:row>
      <xdr:rowOff>57021</xdr:rowOff>
    </xdr:from>
    <xdr:to>
      <xdr:col>5</xdr:col>
      <xdr:colOff>407881</xdr:colOff>
      <xdr:row>8</xdr:row>
      <xdr:rowOff>55645</xdr:rowOff>
    </xdr:to>
    <xdr:graphicFrame macro="">
      <xdr:nvGraphicFramePr>
        <xdr:cNvPr id="55" name="Chart 54">
          <a:hlinkClick xmlns:r="http://schemas.openxmlformats.org/officeDocument/2006/relationships" r:id="rId10"/>
          <a:extLst>
            <a:ext uri="{FF2B5EF4-FFF2-40B4-BE49-F238E27FC236}">
              <a16:creationId xmlns:a16="http://schemas.microsoft.com/office/drawing/2014/main" id="{CF3E8244-3348-4BE8-A89F-3346C08CCC5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1"/>
        </a:graphicData>
      </a:graphic>
    </xdr:graphicFrame>
    <xdr:clientData/>
  </xdr:twoCellAnchor>
  <xdr:twoCellAnchor>
    <xdr:from>
      <xdr:col>5</xdr:col>
      <xdr:colOff>444501</xdr:colOff>
      <xdr:row>5</xdr:row>
      <xdr:rowOff>180655</xdr:rowOff>
    </xdr:from>
    <xdr:to>
      <xdr:col>7</xdr:col>
      <xdr:colOff>385206</xdr:colOff>
      <xdr:row>8</xdr:row>
      <xdr:rowOff>55204</xdr:rowOff>
    </xdr:to>
    <xdr:graphicFrame macro="">
      <xdr:nvGraphicFramePr>
        <xdr:cNvPr id="56" name="Chart 55">
          <a:hlinkClick xmlns:r="http://schemas.openxmlformats.org/officeDocument/2006/relationships" r:id="rId12"/>
          <a:extLst>
            <a:ext uri="{FF2B5EF4-FFF2-40B4-BE49-F238E27FC236}">
              <a16:creationId xmlns:a16="http://schemas.microsoft.com/office/drawing/2014/main" id="{A112E589-DC6C-4952-94ED-EDDF11A26AD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3"/>
        </a:graphicData>
      </a:graphic>
    </xdr:graphicFrame>
    <xdr:clientData/>
  </xdr:twoCellAnchor>
  <mc:AlternateContent xmlns:mc="http://schemas.openxmlformats.org/markup-compatibility/2006">
    <mc:Choice xmlns:a14="http://schemas.microsoft.com/office/drawing/2010/main" Requires="a14">
      <xdr:twoCellAnchor editAs="oneCell">
        <xdr:from>
          <xdr:col>1</xdr:col>
          <xdr:colOff>394606</xdr:colOff>
          <xdr:row>8</xdr:row>
          <xdr:rowOff>86179</xdr:rowOff>
        </xdr:from>
        <xdr:to>
          <xdr:col>7</xdr:col>
          <xdr:colOff>448768</xdr:colOff>
          <xdr:row>11</xdr:row>
          <xdr:rowOff>13608</xdr:rowOff>
        </xdr:to>
        <mc:AlternateContent>
          <mc:Choice Requires="a14">
            <xdr:pic>
              <xdr:nvPicPr>
                <xdr:cNvPr id="21" name="Picture 20">
                  <a:extLst>
                    <a:ext uri="{FF2B5EF4-FFF2-40B4-BE49-F238E27FC236}">
                      <a16:creationId xmlns:a16="http://schemas.microsoft.com/office/drawing/2014/main" id="{F130C085-9DB3-7BBC-C0B0-4206B1D6E691}"/>
                    </a:ext>
                  </a:extLst>
                </xdr:cNvPr>
                <xdr:cNvPicPr>
                  <a:picLocks noChangeAspect="1" noChangeArrowheads="1"/>
                  <a:extLst>
                    <a:ext uri="{84589F7E-364E-4C9E-8A38-B11213B215E9}">
                      <a14:cameraTool cellRange="'pivot report'!$B$57:$F$59" spid="_x0000_s2053"/>
                    </a:ext>
                  </a:extLst>
                </xdr:cNvPicPr>
              </xdr:nvPicPr>
              <xdr:blipFill>
                <a:blip xmlns:r="http://schemas.openxmlformats.org/officeDocument/2006/relationships" r:embed="rId14"/>
                <a:srcRect/>
                <a:stretch>
                  <a:fillRect/>
                </a:stretch>
              </xdr:blipFill>
              <xdr:spPr bwMode="auto">
                <a:xfrm>
                  <a:off x="1002392" y="1537608"/>
                  <a:ext cx="3700876" cy="471714"/>
                </a:xfrm>
                <a:prstGeom prst="rect">
                  <a:avLst/>
                </a:prstGeom>
                <a:noFill/>
                <a:extLst>
                  <a:ext uri="{909E8E84-426E-40DD-AFC4-6F175D3DCCD1}">
                    <a14:hiddenFill>
                      <a:solidFill>
                        <a:srgbClr val="FFFFFF"/>
                      </a:solidFill>
                    </a14:hiddenFill>
                  </a:ext>
                </a:extLst>
              </xdr:spPr>
            </xdr:pic>
          </mc:Choice>
          <mc:Fallback xmlns=""/>
        </mc:AlternateContent>
        <xdr:clientData/>
      </xdr:twoCellAnchor>
    </mc:Choice>
    <mc:Fallback/>
  </mc:AlternateContent>
  <xdr:twoCellAnchor>
    <xdr:from>
      <xdr:col>1</xdr:col>
      <xdr:colOff>368186</xdr:colOff>
      <xdr:row>11</xdr:row>
      <xdr:rowOff>50686</xdr:rowOff>
    </xdr:from>
    <xdr:to>
      <xdr:col>7</xdr:col>
      <xdr:colOff>440757</xdr:colOff>
      <xdr:row>16</xdr:row>
      <xdr:rowOff>150472</xdr:rowOff>
    </xdr:to>
    <xdr:graphicFrame macro="">
      <xdr:nvGraphicFramePr>
        <xdr:cNvPr id="23" name="Chart 22">
          <a:extLst>
            <a:ext uri="{FF2B5EF4-FFF2-40B4-BE49-F238E27FC236}">
              <a16:creationId xmlns:a16="http://schemas.microsoft.com/office/drawing/2014/main" id="{64FFE3D7-94F9-4D38-817C-951067B93DA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5"/>
        </a:graphicData>
      </a:graphic>
    </xdr:graphicFrame>
    <xdr:clientData/>
  </xdr:twoCellAnchor>
  <xdr:twoCellAnchor>
    <xdr:from>
      <xdr:col>7</xdr:col>
      <xdr:colOff>490538</xdr:colOff>
      <xdr:row>0</xdr:row>
      <xdr:rowOff>59189</xdr:rowOff>
    </xdr:from>
    <xdr:to>
      <xdr:col>10</xdr:col>
      <xdr:colOff>195262</xdr:colOff>
      <xdr:row>7</xdr:row>
      <xdr:rowOff>166687</xdr:rowOff>
    </xdr:to>
    <xdr:graphicFrame macro="">
      <xdr:nvGraphicFramePr>
        <xdr:cNvPr id="25" name="Chart 24">
          <a:extLst>
            <a:ext uri="{FF2B5EF4-FFF2-40B4-BE49-F238E27FC236}">
              <a16:creationId xmlns:a16="http://schemas.microsoft.com/office/drawing/2014/main" id="{258A9B5C-2680-405F-8A3B-9D791B5D0FD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6"/>
        </a:graphicData>
      </a:graphic>
    </xdr:graphicFrame>
    <xdr:clientData/>
  </xdr:twoCellAnchor>
  <xdr:twoCellAnchor>
    <xdr:from>
      <xdr:col>10</xdr:col>
      <xdr:colOff>240919</xdr:colOff>
      <xdr:row>0</xdr:row>
      <xdr:rowOff>58246</xdr:rowOff>
    </xdr:from>
    <xdr:to>
      <xdr:col>12</xdr:col>
      <xdr:colOff>457200</xdr:colOff>
      <xdr:row>7</xdr:row>
      <xdr:rowOff>171450</xdr:rowOff>
    </xdr:to>
    <xdr:graphicFrame macro="">
      <xdr:nvGraphicFramePr>
        <xdr:cNvPr id="26" name="Chart 25">
          <a:extLst>
            <a:ext uri="{FF2B5EF4-FFF2-40B4-BE49-F238E27FC236}">
              <a16:creationId xmlns:a16="http://schemas.microsoft.com/office/drawing/2014/main" id="{3829DFE9-F84B-4956-8285-55890D9DCEB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7"/>
        </a:graphicData>
      </a:graphic>
    </xdr:graphicFrame>
    <xdr:clientData/>
  </xdr:twoCellAnchor>
  <xdr:twoCellAnchor>
    <xdr:from>
      <xdr:col>7</xdr:col>
      <xdr:colOff>505242</xdr:colOff>
      <xdr:row>8</xdr:row>
      <xdr:rowOff>76278</xdr:rowOff>
    </xdr:from>
    <xdr:to>
      <xdr:col>12</xdr:col>
      <xdr:colOff>442912</xdr:colOff>
      <xdr:row>16</xdr:row>
      <xdr:rowOff>171450</xdr:rowOff>
    </xdr:to>
    <xdr:graphicFrame macro="">
      <xdr:nvGraphicFramePr>
        <xdr:cNvPr id="27" name="Chart 26">
          <a:extLst>
            <a:ext uri="{FF2B5EF4-FFF2-40B4-BE49-F238E27FC236}">
              <a16:creationId xmlns:a16="http://schemas.microsoft.com/office/drawing/2014/main" id="{ECFF223A-752B-47B2-9AEB-DABACD4318B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8"/>
        </a:graphicData>
      </a:graphic>
    </xdr:graphicFrame>
    <xdr:clientData/>
  </xdr:twoCellAnchor>
  <xdr:twoCellAnchor editAs="oneCell">
    <xdr:from>
      <xdr:col>5</xdr:col>
      <xdr:colOff>395288</xdr:colOff>
      <xdr:row>0</xdr:row>
      <xdr:rowOff>104776</xdr:rowOff>
    </xdr:from>
    <xdr:to>
      <xdr:col>7</xdr:col>
      <xdr:colOff>395288</xdr:colOff>
      <xdr:row>2</xdr:row>
      <xdr:rowOff>171450</xdr:rowOff>
    </xdr:to>
    <mc:AlternateContent xmlns:mc="http://schemas.openxmlformats.org/markup-compatibility/2006" xmlns:a14="http://schemas.microsoft.com/office/drawing/2010/main">
      <mc:Choice Requires="a14">
        <xdr:graphicFrame macro="">
          <xdr:nvGraphicFramePr>
            <xdr:cNvPr id="28" name="Date (Year)">
              <a:extLst>
                <a:ext uri="{FF2B5EF4-FFF2-40B4-BE49-F238E27FC236}">
                  <a16:creationId xmlns:a16="http://schemas.microsoft.com/office/drawing/2014/main" id="{1626E192-5126-4C90-A111-7E2988561724}"/>
                </a:ext>
              </a:extLst>
            </xdr:cNvPr>
            <xdr:cNvGraphicFramePr/>
          </xdr:nvGraphicFramePr>
          <xdr:xfrm>
            <a:off x="0" y="0"/>
            <a:ext cx="0" cy="0"/>
          </xdr:xfrm>
          <a:graphic>
            <a:graphicData uri="http://schemas.microsoft.com/office/drawing/2010/slicer">
              <sle:slicer xmlns:sle="http://schemas.microsoft.com/office/drawing/2010/slicer" name="Date (Year)"/>
            </a:graphicData>
          </a:graphic>
        </xdr:graphicFrame>
      </mc:Choice>
      <mc:Fallback xmlns="">
        <xdr:sp macro="" textlink="">
          <xdr:nvSpPr>
            <xdr:cNvPr id="0" name=""/>
            <xdr:cNvSpPr>
              <a:spLocks noTextEdit="1"/>
            </xdr:cNvSpPr>
          </xdr:nvSpPr>
          <xdr:spPr>
            <a:xfrm>
              <a:off x="3443288" y="104776"/>
              <a:ext cx="1219200" cy="428624"/>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3.xml><?xml version="1.0" encoding="utf-8"?>
<xdr:wsDr xmlns:xdr="http://schemas.openxmlformats.org/drawingml/2006/spreadsheetDrawing" xmlns:a="http://schemas.openxmlformats.org/drawingml/2006/main">
  <xdr:twoCellAnchor>
    <xdr:from>
      <xdr:col>0</xdr:col>
      <xdr:colOff>65171</xdr:colOff>
      <xdr:row>0</xdr:row>
      <xdr:rowOff>45118</xdr:rowOff>
    </xdr:from>
    <xdr:to>
      <xdr:col>11</xdr:col>
      <xdr:colOff>576513</xdr:colOff>
      <xdr:row>17</xdr:row>
      <xdr:rowOff>50130</xdr:rowOff>
    </xdr:to>
    <xdr:graphicFrame macro="">
      <xdr:nvGraphicFramePr>
        <xdr:cNvPr id="2" name="Chart 1">
          <a:extLst>
            <a:ext uri="{FF2B5EF4-FFF2-40B4-BE49-F238E27FC236}">
              <a16:creationId xmlns:a16="http://schemas.microsoft.com/office/drawing/2014/main" id="{E81B76BB-0752-49AE-9ED0-38C938C3D4F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4.xml><?xml version="1.0" encoding="utf-8"?>
<c:userShapes xmlns:c="http://schemas.openxmlformats.org/drawingml/2006/chart">
  <cdr:relSizeAnchor xmlns:cdr="http://schemas.openxmlformats.org/drawingml/2006/chartDrawing">
    <cdr:from>
      <cdr:x>0.00762</cdr:x>
      <cdr:y>0.00326</cdr:y>
    </cdr:from>
    <cdr:to>
      <cdr:x>0.06585</cdr:x>
      <cdr:y>0.12398</cdr:y>
    </cdr:to>
    <cdr:pic>
      <cdr:nvPicPr>
        <cdr:cNvPr id="3" name="Graphic 2" descr="Home with solid fill">
          <a:hlinkClick xmlns:a="http://schemas.openxmlformats.org/drawingml/2006/main" xmlns:r="http://schemas.openxmlformats.org/officeDocument/2006/relationships" r:id="rId1"/>
          <a:extLst xmlns:a="http://schemas.openxmlformats.org/drawingml/2006/main">
            <a:ext uri="{FF2B5EF4-FFF2-40B4-BE49-F238E27FC236}">
              <a16:creationId xmlns:a16="http://schemas.microsoft.com/office/drawing/2014/main" id="{56566716-B168-97F1-89DC-6EC50C7345EA}"/>
            </a:ext>
          </a:extLst>
        </cdr:cNvPr>
        <cdr:cNvPicPr>
          <a:picLocks xmlns:a="http://schemas.openxmlformats.org/drawingml/2006/main" noChangeAspect="1"/>
        </cdr:cNvPicPr>
      </cdr:nvPicPr>
      <cdr:blipFill>
        <a:blip xmlns:a="http://schemas.openxmlformats.org/drawingml/2006/main" xmlns:r="http://schemas.openxmlformats.org/officeDocument/2006/relationships" r:embed="rId2">
          <a:extLst>
            <a:ext uri="{96DAC541-7B7A-43D3-8B79-37D633B846F1}">
              <asvg:svgBlip xmlns:asvg="http://schemas.microsoft.com/office/drawing/2016/SVG/main" r:embed="rId3"/>
            </a:ext>
          </a:extLst>
        </a:blip>
        <a:stretch xmlns:a="http://schemas.openxmlformats.org/drawingml/2006/main">
          <a:fillRect/>
        </a:stretch>
      </cdr:blipFill>
      <cdr:spPr>
        <a:xfrm xmlns:a="http://schemas.openxmlformats.org/drawingml/2006/main">
          <a:off x="55145" y="10027"/>
          <a:ext cx="421562" cy="370974"/>
        </a:xfrm>
        <a:prstGeom xmlns:a="http://schemas.openxmlformats.org/drawingml/2006/main" prst="rect">
          <a:avLst/>
        </a:prstGeom>
      </cdr:spPr>
    </cdr:pic>
  </cdr:relSizeAnchor>
</c:userShapes>
</file>

<file path=xl/drawings/drawing5.xml><?xml version="1.0" encoding="utf-8"?>
<xdr:wsDr xmlns:xdr="http://schemas.openxmlformats.org/drawingml/2006/spreadsheetDrawing" xmlns:a="http://schemas.openxmlformats.org/drawingml/2006/main">
  <xdr:twoCellAnchor>
    <xdr:from>
      <xdr:col>0</xdr:col>
      <xdr:colOff>66524</xdr:colOff>
      <xdr:row>0</xdr:row>
      <xdr:rowOff>133047</xdr:rowOff>
    </xdr:from>
    <xdr:to>
      <xdr:col>20</xdr:col>
      <xdr:colOff>16933</xdr:colOff>
      <xdr:row>29</xdr:row>
      <xdr:rowOff>42334</xdr:rowOff>
    </xdr:to>
    <xdr:graphicFrame macro="">
      <xdr:nvGraphicFramePr>
        <xdr:cNvPr id="2" name="Chart 1">
          <a:extLst>
            <a:ext uri="{FF2B5EF4-FFF2-40B4-BE49-F238E27FC236}">
              <a16:creationId xmlns:a16="http://schemas.microsoft.com/office/drawing/2014/main" id="{E223358B-501A-40F4-A3AA-561279E0234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6.xml><?xml version="1.0" encoding="utf-8"?>
<c:userShapes xmlns:c="http://schemas.openxmlformats.org/drawingml/2006/chart">
  <cdr:relSizeAnchor xmlns:cdr="http://schemas.openxmlformats.org/drawingml/2006/chartDrawing">
    <cdr:from>
      <cdr:x>0.0077</cdr:x>
      <cdr:y>0.01118</cdr:y>
    </cdr:from>
    <cdr:to>
      <cdr:x>0.04552</cdr:x>
      <cdr:y>0.10721</cdr:y>
    </cdr:to>
    <cdr:pic>
      <cdr:nvPicPr>
        <cdr:cNvPr id="2" name="Graphic 1" descr="Home with solid fill">
          <a:hlinkClick xmlns:a="http://schemas.openxmlformats.org/drawingml/2006/main" xmlns:r="http://schemas.openxmlformats.org/officeDocument/2006/relationships" r:id="rId1"/>
          <a:extLst xmlns:a="http://schemas.openxmlformats.org/drawingml/2006/main">
            <a:ext uri="{FF2B5EF4-FFF2-40B4-BE49-F238E27FC236}">
              <a16:creationId xmlns:a16="http://schemas.microsoft.com/office/drawing/2014/main" id="{A9ADA684-177A-FDFF-6EA5-E676ED96791A}"/>
            </a:ext>
          </a:extLst>
        </cdr:cNvPr>
        <cdr:cNvPicPr>
          <a:picLocks xmlns:a="http://schemas.openxmlformats.org/drawingml/2006/main" noChangeAspect="1"/>
        </cdr:cNvPicPr>
      </cdr:nvPicPr>
      <cdr:blipFill>
        <a:blip xmlns:a="http://schemas.openxmlformats.org/drawingml/2006/main" xmlns:r="http://schemas.openxmlformats.org/officeDocument/2006/relationships" r:embed="rId2">
          <a:extLst>
            <a:ext uri="{96DAC541-7B7A-43D3-8B79-37D633B846F1}">
              <asvg:svgBlip xmlns:asvg="http://schemas.microsoft.com/office/drawing/2016/SVG/main" r:embed="rId3"/>
            </a:ext>
          </a:extLst>
        </a:blip>
        <a:stretch xmlns:a="http://schemas.openxmlformats.org/drawingml/2006/main">
          <a:fillRect/>
        </a:stretch>
      </cdr:blipFill>
      <cdr:spPr>
        <a:xfrm xmlns:a="http://schemas.openxmlformats.org/drawingml/2006/main">
          <a:off x="93474" y="59389"/>
          <a:ext cx="459289" cy="509993"/>
        </a:xfrm>
        <a:prstGeom xmlns:a="http://schemas.openxmlformats.org/drawingml/2006/main" prst="rect">
          <a:avLst/>
        </a:prstGeom>
      </cdr:spPr>
    </cdr:pic>
  </cdr:relSizeAnchor>
</c:userShapes>
</file>

<file path=xl/drawings/drawing7.xml><?xml version="1.0" encoding="utf-8"?>
<xdr:wsDr xmlns:xdr="http://schemas.openxmlformats.org/drawingml/2006/spreadsheetDrawing" xmlns:a="http://schemas.openxmlformats.org/drawingml/2006/main">
  <xdr:twoCellAnchor>
    <xdr:from>
      <xdr:col>0</xdr:col>
      <xdr:colOff>84667</xdr:colOff>
      <xdr:row>0</xdr:row>
      <xdr:rowOff>118533</xdr:rowOff>
    </xdr:from>
    <xdr:to>
      <xdr:col>21</xdr:col>
      <xdr:colOff>169333</xdr:colOff>
      <xdr:row>27</xdr:row>
      <xdr:rowOff>8467</xdr:rowOff>
    </xdr:to>
    <xdr:graphicFrame macro="">
      <xdr:nvGraphicFramePr>
        <xdr:cNvPr id="3" name="Chart 2">
          <a:extLst>
            <a:ext uri="{FF2B5EF4-FFF2-40B4-BE49-F238E27FC236}">
              <a16:creationId xmlns:a16="http://schemas.microsoft.com/office/drawing/2014/main" id="{7F79CED2-0648-4931-A681-7CC9CA1014D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8.xml><?xml version="1.0" encoding="utf-8"?>
<c:userShapes xmlns:c="http://schemas.openxmlformats.org/drawingml/2006/chart">
  <cdr:relSizeAnchor xmlns:cdr="http://schemas.openxmlformats.org/drawingml/2006/chartDrawing">
    <cdr:from>
      <cdr:x>0.00394</cdr:x>
      <cdr:y>0.01033</cdr:y>
    </cdr:from>
    <cdr:to>
      <cdr:x>0.03958</cdr:x>
      <cdr:y>0.114</cdr:y>
    </cdr:to>
    <cdr:pic>
      <cdr:nvPicPr>
        <cdr:cNvPr id="2" name="Graphic 1" descr="Home with solid fill">
          <a:hlinkClick xmlns:a="http://schemas.openxmlformats.org/drawingml/2006/main" xmlns:r="http://schemas.openxmlformats.org/officeDocument/2006/relationships" r:id="rId1"/>
          <a:extLst xmlns:a="http://schemas.openxmlformats.org/drawingml/2006/main">
            <a:ext uri="{FF2B5EF4-FFF2-40B4-BE49-F238E27FC236}">
              <a16:creationId xmlns:a16="http://schemas.microsoft.com/office/drawing/2014/main" id="{DF43FA05-2876-679D-FC15-40F60B785839}"/>
            </a:ext>
          </a:extLst>
        </cdr:cNvPr>
        <cdr:cNvPicPr>
          <a:picLocks xmlns:a="http://schemas.openxmlformats.org/drawingml/2006/main" noChangeAspect="1"/>
        </cdr:cNvPicPr>
      </cdr:nvPicPr>
      <cdr:blipFill>
        <a:blip xmlns:a="http://schemas.openxmlformats.org/drawingml/2006/main" xmlns:r="http://schemas.openxmlformats.org/officeDocument/2006/relationships" r:embed="rId2">
          <a:extLst>
            <a:ext uri="{96DAC541-7B7A-43D3-8B79-37D633B846F1}">
              <asvg:svgBlip xmlns:asvg="http://schemas.microsoft.com/office/drawing/2016/SVG/main" r:embed="rId3"/>
            </a:ext>
          </a:extLst>
        </a:blip>
        <a:stretch xmlns:a="http://schemas.openxmlformats.org/drawingml/2006/main">
          <a:fillRect/>
        </a:stretch>
      </cdr:blipFill>
      <cdr:spPr>
        <a:xfrm xmlns:a="http://schemas.openxmlformats.org/drawingml/2006/main">
          <a:off x="50800" y="50800"/>
          <a:ext cx="459289" cy="509993"/>
        </a:xfrm>
        <a:prstGeom xmlns:a="http://schemas.openxmlformats.org/drawingml/2006/main" prst="rect">
          <a:avLst/>
        </a:prstGeom>
      </cdr:spPr>
    </cdr:pic>
  </cdr:relSizeAnchor>
</c:userShape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urag devadiga" refreshedDate="46035.902178472221" backgroundQuery="1" createdVersion="8" refreshedVersion="8" minRefreshableVersion="3" recordCount="0" supportSubquery="1" supportAdvancedDrill="1" xr:uid="{7CFCDA2A-B516-46C8-8AEB-A3D68F924C63}">
  <cacheSource type="external" connectionId="3"/>
  <cacheFields count="4">
    <cacheField name="[Measures].[Distinct Count of Patient Id]" caption="Distinct Count of Patient Id" numFmtId="0" hierarchy="24" level="32767"/>
    <cacheField name="[Calendar_table].[Date (Day)].[Date (Day)]" caption="Date (Day)" numFmtId="0" hierarchy="2" level="1">
      <sharedItems count="31">
        <s v="1-Jan"/>
        <s v="2-Jan"/>
        <s v="3-Jan"/>
        <s v="4-Jan"/>
        <s v="5-Jan"/>
        <s v="6-Jan"/>
        <s v="7-Jan"/>
        <s v="8-Jan"/>
        <s v="9-Jan"/>
        <s v="10-Jan"/>
        <s v="11-Jan"/>
        <s v="12-Jan"/>
        <s v="13-Jan"/>
        <s v="14-Jan"/>
        <s v="15-Jan"/>
        <s v="16-Jan"/>
        <s v="17-Jan"/>
        <s v="18-Jan"/>
        <s v="19-Jan"/>
        <s v="20-Jan"/>
        <s v="21-Jan"/>
        <s v="22-Jan"/>
        <s v="23-Jan"/>
        <s v="24-Jan"/>
        <s v="25-Jan"/>
        <s v="26-Jan"/>
        <s v="27-Jan"/>
        <s v="28-Jan"/>
        <s v="29-Jan"/>
        <s v="30-Jan"/>
        <s v="31-Jan"/>
      </sharedItems>
    </cacheField>
    <cacheField name="[Calendar_table].[Date (Month)].[Date (Month)]" caption="Date (Month)" numFmtId="0" hierarchy="1" level="1">
      <sharedItems containsSemiMixedTypes="0" containsNonDate="0" containsString="0"/>
    </cacheField>
    <cacheField name="[Calendar_table].[Date (Year)].[Date (Year)]" caption="Date (Year)" numFmtId="0" hierarchy="3" level="1">
      <sharedItems containsSemiMixedTypes="0" containsNonDate="0" containsString="0"/>
    </cacheField>
  </cacheFields>
  <cacheHierarchies count="35">
    <cacheHierarchy uniqueName="[Calendar_table].[Date]" caption="Date" attribute="1" time="1" defaultMemberUniqueName="[Calendar_table].[Date].[All]" allUniqueName="[Calendar_table].[Date].[All]" dimensionUniqueName="[Calendar_table]" displayFolder="" count="0" memberValueDatatype="7" unbalanced="0"/>
    <cacheHierarchy uniqueName="[Calendar_table].[Date (Month)]" caption="Date (Month)" attribute="1" defaultMemberUniqueName="[Calendar_table].[Date (Month)].[All]" allUniqueName="[Calendar_table].[Date (Month)].[All]" dimensionUniqueName="[Calendar_table]" displayFolder="" count="2" memberValueDatatype="130" unbalanced="0">
      <fieldsUsage count="2">
        <fieldUsage x="-1"/>
        <fieldUsage x="2"/>
      </fieldsUsage>
    </cacheHierarchy>
    <cacheHierarchy uniqueName="[Calendar_table].[Date (Day)]" caption="Date (Day)" attribute="1" defaultMemberUniqueName="[Calendar_table].[Date (Day)].[All]" allUniqueName="[Calendar_table].[Date (Day)].[All]" dimensionUniqueName="[Calendar_table]" displayFolder="" count="2" memberValueDatatype="130" unbalanced="0">
      <fieldsUsage count="2">
        <fieldUsage x="-1"/>
        <fieldUsage x="1"/>
      </fieldsUsage>
    </cacheHierarchy>
    <cacheHierarchy uniqueName="[Calendar_table].[Date (Year)]" caption="Date (Year)" attribute="1" defaultMemberUniqueName="[Calendar_table].[Date (Year)].[All]" allUniqueName="[Calendar_table].[Date (Year)].[All]" dimensionUniqueName="[Calendar_table]" displayFolder="" count="2" memberValueDatatype="130" unbalanced="0">
      <fieldsUsage count="2">
        <fieldUsage x="-1"/>
        <fieldUsage x="3"/>
      </fieldsUsage>
    </cacheHierarchy>
    <cacheHierarchy uniqueName="[Calendar_table].[Date (Quarter)]" caption="Date (Quarter)" attribute="1" defaultMemberUniqueName="[Calendar_table].[Date (Quarter)].[All]" allUniqueName="[Calendar_table].[Date (Quarter)].[All]" dimensionUniqueName="[Calendar_table]"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Merged]" caption="Merged" attribute="1" defaultMemberUniqueName="[Hospital Emergency Room Data].[Merged].[All]" allUniqueName="[Hospital Emergency Room Data].[Merged].[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Group]" caption="Age-Group" attribute="1" defaultMemberUniqueName="[Hospital Emergency Room Data].[Age-Group].[All]" allUniqueName="[Hospital Emergency Room Data].[Age-Group].[All]" dimensionUniqueName="[Hospital Emergency Room Data]" displayFolder="" count="0" memberValueDatatype="130" unbalanced="0"/>
    <cacheHierarchy uniqueName="[Hospital Emergency Room Data].[Patient Attend Status]" caption="Patient Attend Status" attribute="1" defaultMemberUniqueName="[Hospital Emergency Room Data].[Patient Attend Status].[All]" allUniqueName="[Hospital Emergency Room Data].[Patient Attend Status].[All]" dimensionUniqueName="[Hospital Emergency Room Data]" displayFolder="" count="0" memberValueDatatype="130" unbalanced="0"/>
    <cacheHierarchy uniqueName="[Calendar_table].[Date (Day Index)]" caption="Date (Day Index)" attribute="1" defaultMemberUniqueName="[Calendar_table].[Date (Day Index)].[All]" allUniqueName="[Calendar_table].[Date (Day Index)].[All]" dimensionUniqueName="[Calendar_table]" displayFolder="" count="0" memberValueDatatype="5" unbalanced="0" hidden="1"/>
    <cacheHierarchy uniqueName="[Calendar_table].[Date (Month Index)]" caption="Date (Month Index)" attribute="1" defaultMemberUniqueName="[Calendar_table].[Date (Month Index)].[All]" allUniqueName="[Calendar_table].[Date (Month Index)].[All]" dimensionUniqueName="[Calendar_table]"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ar_table]" caption="__XL_Count Calendar_table" measure="1" displayFolder="" measureGroup="Calendar_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count="0" oneField="1" hidden="1">
      <fieldsUsage count="1">
        <fieldUsage x="0"/>
      </fieldsUsage>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Distinct Count of Patient Admission Flag]" caption="Distinct Count of Patient Admission Flag"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Count of Age-Group]" caption="Count of Age-Group"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Count of Patient Attend Status]" caption="Count of Patient Attend Status" measure="1" displayFolder="" measureGroup="Hospital Emergency Room Data" count="0" hidden="1">
      <extLst>
        <ext xmlns:x15="http://schemas.microsoft.com/office/spreadsheetml/2010/11/main" uri="{B97F6D7D-B522-45F9-BDA1-12C45D357490}">
          <x15:cacheHierarchy aggregatedColumn="17"/>
        </ext>
      </extLst>
    </cacheHierarchy>
    <cacheHierarchy uniqueName="[Measures].[Count of Patient Gender]" caption="Count of Patient Gender" measure="1" displayFolder="" measureGroup="Hospital Emergency Room Data" count="0" hidden="1">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12"/>
        </ext>
      </extLst>
    </cacheHierarchy>
  </cacheHierarchies>
  <kpis count="0"/>
  <dimensions count="3">
    <dimension name="Calendar_table" uniqueName="[Calendar_table]" caption="Calendar_table"/>
    <dimension name="Hospital Emergency Room Data" uniqueName="[Hospital Emergency Room Data]" caption="Hospital Emergency Room Data"/>
    <dimension measure="1" name="Measures" uniqueName="[Measures]" caption="Measures"/>
  </dimensions>
  <measureGroups count="2">
    <measureGroup name="Calendar_table" caption="Calendar_tabl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urag devadiga" refreshedDate="46035.902178587959" backgroundQuery="1" createdVersion="8" refreshedVersion="8" minRefreshableVersion="3" recordCount="0" supportSubquery="1" supportAdvancedDrill="1" xr:uid="{5BF3DFF7-231B-407A-8335-E0BCE76209B6}">
  <cacheSource type="external" connectionId="3"/>
  <cacheFields count="3">
    <cacheField name="[Measures].[Distinct Count of Patient Id]" caption="Distinct Count of Patient Id" numFmtId="0" hierarchy="24" level="32767"/>
    <cacheField name="[Calendar_table].[Date (Month)].[Date (Month)]" caption="Date (Month)" numFmtId="0" hierarchy="1" level="1">
      <sharedItems containsSemiMixedTypes="0" containsNonDate="0" containsString="0"/>
    </cacheField>
    <cacheField name="[Calendar_table].[Date (Year)].[Date (Year)]" caption="Date (Year)" numFmtId="0" hierarchy="3" level="1">
      <sharedItems containsSemiMixedTypes="0" containsNonDate="0" containsString="0"/>
    </cacheField>
  </cacheFields>
  <cacheHierarchies count="35">
    <cacheHierarchy uniqueName="[Calendar_table].[Date]" caption="Date" attribute="1" time="1" defaultMemberUniqueName="[Calendar_table].[Date].[All]" allUniqueName="[Calendar_table].[Date].[All]" dimensionUniqueName="[Calendar_table]" displayFolder="" count="0" memberValueDatatype="7" unbalanced="0"/>
    <cacheHierarchy uniqueName="[Calendar_table].[Date (Month)]" caption="Date (Month)" attribute="1" defaultMemberUniqueName="[Calendar_table].[Date (Month)].[All]" allUniqueName="[Calendar_table].[Date (Month)].[All]" dimensionUniqueName="[Calendar_table]" displayFolder="" count="2" memberValueDatatype="130" unbalanced="0">
      <fieldsUsage count="2">
        <fieldUsage x="-1"/>
        <fieldUsage x="1"/>
      </fieldsUsage>
    </cacheHierarchy>
    <cacheHierarchy uniqueName="[Calendar_table].[Date (Day)]" caption="Date (Day)" attribute="1" defaultMemberUniqueName="[Calendar_table].[Date (Day)].[All]" allUniqueName="[Calendar_table].[Date (Day)].[All]" dimensionUniqueName="[Calendar_table]" displayFolder="" count="0" memberValueDatatype="130" unbalanced="0"/>
    <cacheHierarchy uniqueName="[Calendar_table].[Date (Year)]" caption="Date (Year)" attribute="1" defaultMemberUniqueName="[Calendar_table].[Date (Year)].[All]" allUniqueName="[Calendar_table].[Date (Year)].[All]" dimensionUniqueName="[Calendar_table]" displayFolder="" count="2" memberValueDatatype="130" unbalanced="0">
      <fieldsUsage count="2">
        <fieldUsage x="-1"/>
        <fieldUsage x="2"/>
      </fieldsUsage>
    </cacheHierarchy>
    <cacheHierarchy uniqueName="[Calendar_table].[Date (Quarter)]" caption="Date (Quarter)" attribute="1" defaultMemberUniqueName="[Calendar_table].[Date (Quarter)].[All]" allUniqueName="[Calendar_table].[Date (Quarter)].[All]" dimensionUniqueName="[Calendar_table]"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Merged]" caption="Merged" attribute="1" defaultMemberUniqueName="[Hospital Emergency Room Data].[Merged].[All]" allUniqueName="[Hospital Emergency Room Data].[Merged].[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Group]" caption="Age-Group" attribute="1" defaultMemberUniqueName="[Hospital Emergency Room Data].[Age-Group].[All]" allUniqueName="[Hospital Emergency Room Data].[Age-Group].[All]" dimensionUniqueName="[Hospital Emergency Room Data]" displayFolder="" count="0" memberValueDatatype="130" unbalanced="0"/>
    <cacheHierarchy uniqueName="[Hospital Emergency Room Data].[Patient Attend Status]" caption="Patient Attend Status" attribute="1" defaultMemberUniqueName="[Hospital Emergency Room Data].[Patient Attend Status].[All]" allUniqueName="[Hospital Emergency Room Data].[Patient Attend Status].[All]" dimensionUniqueName="[Hospital Emergency Room Data]" displayFolder="" count="0" memberValueDatatype="130" unbalanced="0"/>
    <cacheHierarchy uniqueName="[Calendar_table].[Date (Day Index)]" caption="Date (Day Index)" attribute="1" defaultMemberUniqueName="[Calendar_table].[Date (Day Index)].[All]" allUniqueName="[Calendar_table].[Date (Day Index)].[All]" dimensionUniqueName="[Calendar_table]" displayFolder="" count="0" memberValueDatatype="5" unbalanced="0" hidden="1"/>
    <cacheHierarchy uniqueName="[Calendar_table].[Date (Month Index)]" caption="Date (Month Index)" attribute="1" defaultMemberUniqueName="[Calendar_table].[Date (Month Index)].[All]" allUniqueName="[Calendar_table].[Date (Month Index)].[All]" dimensionUniqueName="[Calendar_table]"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ar_table]" caption="__XL_Count Calendar_table" measure="1" displayFolder="" measureGroup="Calendar_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count="0" oneField="1" hidden="1">
      <fieldsUsage count="1">
        <fieldUsage x="0"/>
      </fieldsUsage>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Distinct Count of Patient Admission Flag]" caption="Distinct Count of Patient Admission Flag"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Count of Age-Group]" caption="Count of Age-Group"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Count of Patient Attend Status]" caption="Count of Patient Attend Status" measure="1" displayFolder="" measureGroup="Hospital Emergency Room Data" count="0" hidden="1">
      <extLst>
        <ext xmlns:x15="http://schemas.microsoft.com/office/spreadsheetml/2010/11/main" uri="{B97F6D7D-B522-45F9-BDA1-12C45D357490}">
          <x15:cacheHierarchy aggregatedColumn="17"/>
        </ext>
      </extLst>
    </cacheHierarchy>
    <cacheHierarchy uniqueName="[Measures].[Count of Patient Gender]" caption="Count of Patient Gender" measure="1" displayFolder="" measureGroup="Hospital Emergency Room Data" count="0" hidden="1">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12"/>
        </ext>
      </extLst>
    </cacheHierarchy>
  </cacheHierarchies>
  <kpis count="0"/>
  <dimensions count="3">
    <dimension name="Calendar_table" uniqueName="[Calendar_table]" caption="Calendar_table"/>
    <dimension name="Hospital Emergency Room Data" uniqueName="[Hospital Emergency Room Data]" caption="Hospital Emergency Room Data"/>
    <dimension measure="1" name="Measures" uniqueName="[Measures]" caption="Measures"/>
  </dimensions>
  <measureGroups count="2">
    <measureGroup name="Calendar_table" caption="Calendar_tabl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urag devadiga" refreshedDate="46035.902178703705" backgroundQuery="1" createdVersion="8" refreshedVersion="8" minRefreshableVersion="3" recordCount="0" supportSubquery="1" supportAdvancedDrill="1" xr:uid="{1A7AED5C-20C8-433D-A18D-EA3E4B4BB2DC}">
  <cacheSource type="external" connectionId="3"/>
  <cacheFields count="2">
    <cacheField name="[Measures].[Average of Patient Waittime]" caption="Average of Patient Waittime" numFmtId="0" hierarchy="26" level="32767"/>
    <cacheField name="[Calendar_table].[Date (Month)].[Date (Month)]" caption="Date (Month)" numFmtId="0" hierarchy="1" level="1">
      <sharedItems containsSemiMixedTypes="0" containsNonDate="0" containsString="0"/>
    </cacheField>
  </cacheFields>
  <cacheHierarchies count="35">
    <cacheHierarchy uniqueName="[Calendar_table].[Date]" caption="Date" attribute="1" time="1" defaultMemberUniqueName="[Calendar_table].[Date].[All]" allUniqueName="[Calendar_table].[Date].[All]" dimensionUniqueName="[Calendar_table]" displayFolder="" count="0" memberValueDatatype="7" unbalanced="0"/>
    <cacheHierarchy uniqueName="[Calendar_table].[Date (Month)]" caption="Date (Month)" attribute="1" defaultMemberUniqueName="[Calendar_table].[Date (Month)].[All]" allUniqueName="[Calendar_table].[Date (Month)].[All]" dimensionUniqueName="[Calendar_table]" displayFolder="" count="2" memberValueDatatype="130" unbalanced="0">
      <fieldsUsage count="2">
        <fieldUsage x="-1"/>
        <fieldUsage x="1"/>
      </fieldsUsage>
    </cacheHierarchy>
    <cacheHierarchy uniqueName="[Calendar_table].[Date (Day)]" caption="Date (Day)" attribute="1" defaultMemberUniqueName="[Calendar_table].[Date (Day)].[All]" allUniqueName="[Calendar_table].[Date (Day)].[All]" dimensionUniqueName="[Calendar_table]" displayFolder="" count="0" memberValueDatatype="130" unbalanced="0"/>
    <cacheHierarchy uniqueName="[Calendar_table].[Date (Year)]" caption="Date (Year)" attribute="1" defaultMemberUniqueName="[Calendar_table].[Date (Year)].[All]" allUniqueName="[Calendar_table].[Date (Year)].[All]" dimensionUniqueName="[Calendar_table]" displayFolder="" count="0" memberValueDatatype="130" unbalanced="0"/>
    <cacheHierarchy uniqueName="[Calendar_table].[Date (Quarter)]" caption="Date (Quarter)" attribute="1" defaultMemberUniqueName="[Calendar_table].[Date (Quarter)].[All]" allUniqueName="[Calendar_table].[Date (Quarter)].[All]" dimensionUniqueName="[Calendar_table]"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Merged]" caption="Merged" attribute="1" defaultMemberUniqueName="[Hospital Emergency Room Data].[Merged].[All]" allUniqueName="[Hospital Emergency Room Data].[Merged].[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Group]" caption="Age-Group" attribute="1" defaultMemberUniqueName="[Hospital Emergency Room Data].[Age-Group].[All]" allUniqueName="[Hospital Emergency Room Data].[Age-Group].[All]" dimensionUniqueName="[Hospital Emergency Room Data]" displayFolder="" count="0" memberValueDatatype="130" unbalanced="0"/>
    <cacheHierarchy uniqueName="[Hospital Emergency Room Data].[Patient Attend Status]" caption="Patient Attend Status" attribute="1" defaultMemberUniqueName="[Hospital Emergency Room Data].[Patient Attend Status].[All]" allUniqueName="[Hospital Emergency Room Data].[Patient Attend Status].[All]" dimensionUniqueName="[Hospital Emergency Room Data]" displayFolder="" count="0" memberValueDatatype="130" unbalanced="0"/>
    <cacheHierarchy uniqueName="[Calendar_table].[Date (Day Index)]" caption="Date (Day Index)" attribute="1" defaultMemberUniqueName="[Calendar_table].[Date (Day Index)].[All]" allUniqueName="[Calendar_table].[Date (Day Index)].[All]" dimensionUniqueName="[Calendar_table]" displayFolder="" count="0" memberValueDatatype="5" unbalanced="0" hidden="1"/>
    <cacheHierarchy uniqueName="[Calendar_table].[Date (Month Index)]" caption="Date (Month Index)" attribute="1" defaultMemberUniqueName="[Calendar_table].[Date (Month Index)].[All]" allUniqueName="[Calendar_table].[Date (Month Index)].[All]" dimensionUniqueName="[Calendar_table]"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ar_table]" caption="__XL_Count Calendar_table" measure="1" displayFolder="" measureGroup="Calendar_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oneField="1" hidden="1">
      <fieldsUsage count="1">
        <fieldUsage x="0"/>
      </fieldsUsage>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Distinct Count of Patient Admission Flag]" caption="Distinct Count of Patient Admission Flag"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Count of Age-Group]" caption="Count of Age-Group"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Count of Patient Attend Status]" caption="Count of Patient Attend Status" measure="1" displayFolder="" measureGroup="Hospital Emergency Room Data" count="0" hidden="1">
      <extLst>
        <ext xmlns:x15="http://schemas.microsoft.com/office/spreadsheetml/2010/11/main" uri="{B97F6D7D-B522-45F9-BDA1-12C45D357490}">
          <x15:cacheHierarchy aggregatedColumn="17"/>
        </ext>
      </extLst>
    </cacheHierarchy>
    <cacheHierarchy uniqueName="[Measures].[Count of Patient Gender]" caption="Count of Patient Gender" measure="1" displayFolder="" measureGroup="Hospital Emergency Room Data" count="0" hidden="1">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12"/>
        </ext>
      </extLst>
    </cacheHierarchy>
  </cacheHierarchies>
  <kpis count="0"/>
  <dimensions count="3">
    <dimension name="Calendar_table" uniqueName="[Calendar_table]" caption="Calendar_table"/>
    <dimension name="Hospital Emergency Room Data" uniqueName="[Hospital Emergency Room Data]" caption="Hospital Emergency Room Data"/>
    <dimension measure="1" name="Measures" uniqueName="[Measures]" caption="Measures"/>
  </dimensions>
  <measureGroups count="2">
    <measureGroup name="Calendar_table" caption="Calendar_tabl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urag devadiga" refreshedDate="46035.902178819444" backgroundQuery="1" createdVersion="8" refreshedVersion="8" minRefreshableVersion="3" recordCount="0" supportSubquery="1" supportAdvancedDrill="1" xr:uid="{C848FCE7-5125-4CAD-8DBD-EE7A31CB8027}">
  <cacheSource type="external" connectionId="3"/>
  <cacheFields count="3">
    <cacheField name="[Measures].[Average of Patient Satisfaction Score]" caption="Average of Patient Satisfaction Score" numFmtId="0" hierarchy="28" level="32767"/>
    <cacheField name="[Calendar_table].[Date (Month)].[Date (Month)]" caption="Date (Month)" numFmtId="0" hierarchy="1" level="1">
      <sharedItems containsSemiMixedTypes="0" containsNonDate="0" containsString="0"/>
    </cacheField>
    <cacheField name="[Calendar_table].[Date (Year)].[Date (Year)]" caption="Date (Year)" numFmtId="0" hierarchy="3" level="1">
      <sharedItems containsSemiMixedTypes="0" containsNonDate="0" containsString="0"/>
    </cacheField>
  </cacheFields>
  <cacheHierarchies count="35">
    <cacheHierarchy uniqueName="[Calendar_table].[Date]" caption="Date" attribute="1" time="1" defaultMemberUniqueName="[Calendar_table].[Date].[All]" allUniqueName="[Calendar_table].[Date].[All]" dimensionUniqueName="[Calendar_table]" displayFolder="" count="0" memberValueDatatype="7" unbalanced="0"/>
    <cacheHierarchy uniqueName="[Calendar_table].[Date (Month)]" caption="Date (Month)" attribute="1" defaultMemberUniqueName="[Calendar_table].[Date (Month)].[All]" allUniqueName="[Calendar_table].[Date (Month)].[All]" dimensionUniqueName="[Calendar_table]" displayFolder="" count="2" memberValueDatatype="130" unbalanced="0">
      <fieldsUsage count="2">
        <fieldUsage x="-1"/>
        <fieldUsage x="1"/>
      </fieldsUsage>
    </cacheHierarchy>
    <cacheHierarchy uniqueName="[Calendar_table].[Date (Day)]" caption="Date (Day)" attribute="1" defaultMemberUniqueName="[Calendar_table].[Date (Day)].[All]" allUniqueName="[Calendar_table].[Date (Day)].[All]" dimensionUniqueName="[Calendar_table]" displayFolder="" count="0" memberValueDatatype="130" unbalanced="0"/>
    <cacheHierarchy uniqueName="[Calendar_table].[Date (Year)]" caption="Date (Year)" attribute="1" defaultMemberUniqueName="[Calendar_table].[Date (Year)].[All]" allUniqueName="[Calendar_table].[Date (Year)].[All]" dimensionUniqueName="[Calendar_table]" displayFolder="" count="2" memberValueDatatype="130" unbalanced="0">
      <fieldsUsage count="2">
        <fieldUsage x="-1"/>
        <fieldUsage x="2"/>
      </fieldsUsage>
    </cacheHierarchy>
    <cacheHierarchy uniqueName="[Calendar_table].[Date (Quarter)]" caption="Date (Quarter)" attribute="1" defaultMemberUniqueName="[Calendar_table].[Date (Quarter)].[All]" allUniqueName="[Calendar_table].[Date (Quarter)].[All]" dimensionUniqueName="[Calendar_table]"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Merged]" caption="Merged" attribute="1" defaultMemberUniqueName="[Hospital Emergency Room Data].[Merged].[All]" allUniqueName="[Hospital Emergency Room Data].[Merged].[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Group]" caption="Age-Group" attribute="1" defaultMemberUniqueName="[Hospital Emergency Room Data].[Age-Group].[All]" allUniqueName="[Hospital Emergency Room Data].[Age-Group].[All]" dimensionUniqueName="[Hospital Emergency Room Data]" displayFolder="" count="0" memberValueDatatype="130" unbalanced="0"/>
    <cacheHierarchy uniqueName="[Hospital Emergency Room Data].[Patient Attend Status]" caption="Patient Attend Status" attribute="1" defaultMemberUniqueName="[Hospital Emergency Room Data].[Patient Attend Status].[All]" allUniqueName="[Hospital Emergency Room Data].[Patient Attend Status].[All]" dimensionUniqueName="[Hospital Emergency Room Data]" displayFolder="" count="0" memberValueDatatype="130" unbalanced="0"/>
    <cacheHierarchy uniqueName="[Calendar_table].[Date (Day Index)]" caption="Date (Day Index)" attribute="1" defaultMemberUniqueName="[Calendar_table].[Date (Day Index)].[All]" allUniqueName="[Calendar_table].[Date (Day Index)].[All]" dimensionUniqueName="[Calendar_table]" displayFolder="" count="0" memberValueDatatype="5" unbalanced="0" hidden="1"/>
    <cacheHierarchy uniqueName="[Calendar_table].[Date (Month Index)]" caption="Date (Month Index)" attribute="1" defaultMemberUniqueName="[Calendar_table].[Date (Month Index)].[All]" allUniqueName="[Calendar_table].[Date (Month Index)].[All]" dimensionUniqueName="[Calendar_table]"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ar_table]" caption="__XL_Count Calendar_table" measure="1" displayFolder="" measureGroup="Calendar_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oneField="1" hidden="1">
      <fieldsUsage count="1">
        <fieldUsage x="0"/>
      </fieldsUsage>
      <extLst>
        <ext xmlns:x15="http://schemas.microsoft.com/office/spreadsheetml/2010/11/main" uri="{B97F6D7D-B522-45F9-BDA1-12C45D357490}">
          <x15:cacheHierarchy aggregatedColumn="14"/>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Distinct Count of Patient Admission Flag]" caption="Distinct Count of Patient Admission Flag"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Count of Age-Group]" caption="Count of Age-Group"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Count of Patient Attend Status]" caption="Count of Patient Attend Status" measure="1" displayFolder="" measureGroup="Hospital Emergency Room Data" count="0" hidden="1">
      <extLst>
        <ext xmlns:x15="http://schemas.microsoft.com/office/spreadsheetml/2010/11/main" uri="{B97F6D7D-B522-45F9-BDA1-12C45D357490}">
          <x15:cacheHierarchy aggregatedColumn="17"/>
        </ext>
      </extLst>
    </cacheHierarchy>
    <cacheHierarchy uniqueName="[Measures].[Count of Patient Gender]" caption="Count of Patient Gender" measure="1" displayFolder="" measureGroup="Hospital Emergency Room Data" count="0" hidden="1">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12"/>
        </ext>
      </extLst>
    </cacheHierarchy>
  </cacheHierarchies>
  <kpis count="0"/>
  <dimensions count="3">
    <dimension name="Calendar_table" uniqueName="[Calendar_table]" caption="Calendar_table"/>
    <dimension name="Hospital Emergency Room Data" uniqueName="[Hospital Emergency Room Data]" caption="Hospital Emergency Room Data"/>
    <dimension measure="1" name="Measures" uniqueName="[Measures]" caption="Measures"/>
  </dimensions>
  <measureGroups count="2">
    <measureGroup name="Calendar_table" caption="Calendar_tabl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urag devadiga" refreshedDate="46035.902179166667" backgroundQuery="1" createdVersion="8" refreshedVersion="8" minRefreshableVersion="3" recordCount="0" supportSubquery="1" supportAdvancedDrill="1" xr:uid="{6F90916B-7FE2-4F4D-8837-382D6D4EFF26}">
  <cacheSource type="external" connectionId="3"/>
  <cacheFields count="4">
    <cacheField name="[Calendar_table].[Date (Day)].[Date (Day)]" caption="Date (Day)" numFmtId="0" hierarchy="2" level="1">
      <sharedItems count="31">
        <s v="1-Jan"/>
        <s v="2-Jan"/>
        <s v="3-Jan"/>
        <s v="4-Jan"/>
        <s v="5-Jan"/>
        <s v="6-Jan"/>
        <s v="7-Jan"/>
        <s v="8-Jan"/>
        <s v="9-Jan"/>
        <s v="10-Jan"/>
        <s v="11-Jan"/>
        <s v="12-Jan"/>
        <s v="13-Jan"/>
        <s v="14-Jan"/>
        <s v="15-Jan"/>
        <s v="16-Jan"/>
        <s v="17-Jan"/>
        <s v="18-Jan"/>
        <s v="19-Jan"/>
        <s v="20-Jan"/>
        <s v="21-Jan"/>
        <s v="22-Jan"/>
        <s v="23-Jan"/>
        <s v="24-Jan"/>
        <s v="25-Jan"/>
        <s v="26-Jan"/>
        <s v="27-Jan"/>
        <s v="28-Jan"/>
        <s v="29-Jan"/>
        <s v="30-Jan"/>
        <s v="31-Jan"/>
      </sharedItems>
    </cacheField>
    <cacheField name="[Calendar_table].[Date (Month)].[Date (Month)]" caption="Date (Month)" numFmtId="0" hierarchy="1" level="1">
      <sharedItems containsSemiMixedTypes="0" containsNonDate="0" containsString="0"/>
    </cacheField>
    <cacheField name="[Measures].[Average of Patient Waittime]" caption="Average of Patient Waittime" numFmtId="0" hierarchy="26" level="32767"/>
    <cacheField name="[Calendar_table].[Date (Year)].[Date (Year)]" caption="Date (Year)" numFmtId="0" hierarchy="3" level="1">
      <sharedItems containsSemiMixedTypes="0" containsNonDate="0" containsString="0"/>
    </cacheField>
  </cacheFields>
  <cacheHierarchies count="35">
    <cacheHierarchy uniqueName="[Calendar_table].[Date]" caption="Date" attribute="1" time="1" defaultMemberUniqueName="[Calendar_table].[Date].[All]" allUniqueName="[Calendar_table].[Date].[All]" dimensionUniqueName="[Calendar_table]" displayFolder="" count="0" memberValueDatatype="7" unbalanced="0"/>
    <cacheHierarchy uniqueName="[Calendar_table].[Date (Month)]" caption="Date (Month)" attribute="1" defaultMemberUniqueName="[Calendar_table].[Date (Month)].[All]" allUniqueName="[Calendar_table].[Date (Month)].[All]" dimensionUniqueName="[Calendar_table]" displayFolder="" count="2" memberValueDatatype="130" unbalanced="0">
      <fieldsUsage count="2">
        <fieldUsage x="-1"/>
        <fieldUsage x="1"/>
      </fieldsUsage>
    </cacheHierarchy>
    <cacheHierarchy uniqueName="[Calendar_table].[Date (Day)]" caption="Date (Day)" attribute="1" defaultMemberUniqueName="[Calendar_table].[Date (Day)].[All]" allUniqueName="[Calendar_table].[Date (Day)].[All]" dimensionUniqueName="[Calendar_table]" displayFolder="" count="2" memberValueDatatype="130" unbalanced="0">
      <fieldsUsage count="2">
        <fieldUsage x="-1"/>
        <fieldUsage x="0"/>
      </fieldsUsage>
    </cacheHierarchy>
    <cacheHierarchy uniqueName="[Calendar_table].[Date (Year)]" caption="Date (Year)" attribute="1" defaultMemberUniqueName="[Calendar_table].[Date (Year)].[All]" allUniqueName="[Calendar_table].[Date (Year)].[All]" dimensionUniqueName="[Calendar_table]" displayFolder="" count="2" memberValueDatatype="130" unbalanced="0">
      <fieldsUsage count="2">
        <fieldUsage x="-1"/>
        <fieldUsage x="3"/>
      </fieldsUsage>
    </cacheHierarchy>
    <cacheHierarchy uniqueName="[Calendar_table].[Date (Quarter)]" caption="Date (Quarter)" attribute="1" defaultMemberUniqueName="[Calendar_table].[Date (Quarter)].[All]" allUniqueName="[Calendar_table].[Date (Quarter)].[All]" dimensionUniqueName="[Calendar_table]"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Merged]" caption="Merged" attribute="1" defaultMemberUniqueName="[Hospital Emergency Room Data].[Merged].[All]" allUniqueName="[Hospital Emergency Room Data].[Merged].[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Group]" caption="Age-Group" attribute="1" defaultMemberUniqueName="[Hospital Emergency Room Data].[Age-Group].[All]" allUniqueName="[Hospital Emergency Room Data].[Age-Group].[All]" dimensionUniqueName="[Hospital Emergency Room Data]" displayFolder="" count="0" memberValueDatatype="130" unbalanced="0"/>
    <cacheHierarchy uniqueName="[Hospital Emergency Room Data].[Patient Attend Status]" caption="Patient Attend Status" attribute="1" defaultMemberUniqueName="[Hospital Emergency Room Data].[Patient Attend Status].[All]" allUniqueName="[Hospital Emergency Room Data].[Patient Attend Status].[All]" dimensionUniqueName="[Hospital Emergency Room Data]" displayFolder="" count="0" memberValueDatatype="130" unbalanced="0"/>
    <cacheHierarchy uniqueName="[Calendar_table].[Date (Day Index)]" caption="Date (Day Index)" attribute="1" defaultMemberUniqueName="[Calendar_table].[Date (Day Index)].[All]" allUniqueName="[Calendar_table].[Date (Day Index)].[All]" dimensionUniqueName="[Calendar_table]" displayFolder="" count="0" memberValueDatatype="5" unbalanced="0" hidden="1"/>
    <cacheHierarchy uniqueName="[Calendar_table].[Date (Month Index)]" caption="Date (Month Index)" attribute="1" defaultMemberUniqueName="[Calendar_table].[Date (Month Index)].[All]" allUniqueName="[Calendar_table].[Date (Month Index)].[All]" dimensionUniqueName="[Calendar_table]"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ar_table]" caption="__XL_Count Calendar_table" measure="1" displayFolder="" measureGroup="Calendar_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oneField="1" hidden="1">
      <fieldsUsage count="1">
        <fieldUsage x="2"/>
      </fieldsUsage>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Distinct Count of Patient Admission Flag]" caption="Distinct Count of Patient Admission Flag"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Count of Age-Group]" caption="Count of Age-Group"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Count of Patient Attend Status]" caption="Count of Patient Attend Status" measure="1" displayFolder="" measureGroup="Hospital Emergency Room Data" count="0" hidden="1">
      <extLst>
        <ext xmlns:x15="http://schemas.microsoft.com/office/spreadsheetml/2010/11/main" uri="{B97F6D7D-B522-45F9-BDA1-12C45D357490}">
          <x15:cacheHierarchy aggregatedColumn="17"/>
        </ext>
      </extLst>
    </cacheHierarchy>
    <cacheHierarchy uniqueName="[Measures].[Count of Patient Gender]" caption="Count of Patient Gender" measure="1" displayFolder="" measureGroup="Hospital Emergency Room Data" count="0" hidden="1">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12"/>
        </ext>
      </extLst>
    </cacheHierarchy>
  </cacheHierarchies>
  <kpis count="0"/>
  <dimensions count="3">
    <dimension name="Calendar_table" uniqueName="[Calendar_table]" caption="Calendar_table"/>
    <dimension name="Hospital Emergency Room Data" uniqueName="[Hospital Emergency Room Data]" caption="Hospital Emergency Room Data"/>
    <dimension measure="1" name="Measures" uniqueName="[Measures]" caption="Measures"/>
  </dimensions>
  <measureGroups count="2">
    <measureGroup name="Calendar_table" caption="Calendar_tabl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urag devadiga" refreshedDate="46035.902179629629" backgroundQuery="1" createdVersion="8" refreshedVersion="8" minRefreshableVersion="3" recordCount="0" supportSubquery="1" supportAdvancedDrill="1" xr:uid="{9B4F68DD-4B5B-498D-9C8A-B784E9BF2461}">
  <cacheSource type="external" connectionId="3"/>
  <cacheFields count="4">
    <cacheField name="[Calendar_table].[Date (Day)].[Date (Day)]" caption="Date (Day)" numFmtId="0" hierarchy="2" level="1">
      <sharedItems count="31">
        <s v="1-Jan"/>
        <s v="2-Jan"/>
        <s v="3-Jan"/>
        <s v="4-Jan"/>
        <s v="5-Jan"/>
        <s v="6-Jan"/>
        <s v="7-Jan"/>
        <s v="8-Jan"/>
        <s v="9-Jan"/>
        <s v="10-Jan"/>
        <s v="11-Jan"/>
        <s v="12-Jan"/>
        <s v="13-Jan"/>
        <s v="14-Jan"/>
        <s v="15-Jan"/>
        <s v="16-Jan"/>
        <s v="17-Jan"/>
        <s v="18-Jan"/>
        <s v="19-Jan"/>
        <s v="20-Jan"/>
        <s v="21-Jan"/>
        <s v="22-Jan"/>
        <s v="23-Jan"/>
        <s v="24-Jan"/>
        <s v="25-Jan"/>
        <s v="26-Jan"/>
        <s v="27-Jan"/>
        <s v="28-Jan"/>
        <s v="29-Jan"/>
        <s v="30-Jan"/>
        <s v="31-Jan"/>
      </sharedItems>
    </cacheField>
    <cacheField name="[Calendar_table].[Date (Month)].[Date (Month)]" caption="Date (Month)" numFmtId="0" hierarchy="1" level="1">
      <sharedItems containsSemiMixedTypes="0" containsNonDate="0" containsString="0"/>
    </cacheField>
    <cacheField name="[Measures].[Average of Patient Satisfaction Score]" caption="Average of Patient Satisfaction Score" numFmtId="0" hierarchy="28" level="32767"/>
    <cacheField name="[Calendar_table].[Date (Year)].[Date (Year)]" caption="Date (Year)" numFmtId="0" hierarchy="3" level="1">
      <sharedItems containsSemiMixedTypes="0" containsNonDate="0" containsString="0"/>
    </cacheField>
  </cacheFields>
  <cacheHierarchies count="35">
    <cacheHierarchy uniqueName="[Calendar_table].[Date]" caption="Date" attribute="1" time="1" defaultMemberUniqueName="[Calendar_table].[Date].[All]" allUniqueName="[Calendar_table].[Date].[All]" dimensionUniqueName="[Calendar_table]" displayFolder="" count="0" memberValueDatatype="7" unbalanced="0"/>
    <cacheHierarchy uniqueName="[Calendar_table].[Date (Month)]" caption="Date (Month)" attribute="1" defaultMemberUniqueName="[Calendar_table].[Date (Month)].[All]" allUniqueName="[Calendar_table].[Date (Month)].[All]" dimensionUniqueName="[Calendar_table]" displayFolder="" count="2" memberValueDatatype="130" unbalanced="0">
      <fieldsUsage count="2">
        <fieldUsage x="-1"/>
        <fieldUsage x="1"/>
      </fieldsUsage>
    </cacheHierarchy>
    <cacheHierarchy uniqueName="[Calendar_table].[Date (Day)]" caption="Date (Day)" attribute="1" defaultMemberUniqueName="[Calendar_table].[Date (Day)].[All]" allUniqueName="[Calendar_table].[Date (Day)].[All]" dimensionUniqueName="[Calendar_table]" displayFolder="" count="2" memberValueDatatype="130" unbalanced="0">
      <fieldsUsage count="2">
        <fieldUsage x="-1"/>
        <fieldUsage x="0"/>
      </fieldsUsage>
    </cacheHierarchy>
    <cacheHierarchy uniqueName="[Calendar_table].[Date (Year)]" caption="Date (Year)" attribute="1" defaultMemberUniqueName="[Calendar_table].[Date (Year)].[All]" allUniqueName="[Calendar_table].[Date (Year)].[All]" dimensionUniqueName="[Calendar_table]" displayFolder="" count="2" memberValueDatatype="130" unbalanced="0">
      <fieldsUsage count="2">
        <fieldUsage x="-1"/>
        <fieldUsage x="3"/>
      </fieldsUsage>
    </cacheHierarchy>
    <cacheHierarchy uniqueName="[Calendar_table].[Date (Quarter)]" caption="Date (Quarter)" attribute="1" defaultMemberUniqueName="[Calendar_table].[Date (Quarter)].[All]" allUniqueName="[Calendar_table].[Date (Quarter)].[All]" dimensionUniqueName="[Calendar_table]"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Merged]" caption="Merged" attribute="1" defaultMemberUniqueName="[Hospital Emergency Room Data].[Merged].[All]" allUniqueName="[Hospital Emergency Room Data].[Merged].[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Group]" caption="Age-Group" attribute="1" defaultMemberUniqueName="[Hospital Emergency Room Data].[Age-Group].[All]" allUniqueName="[Hospital Emergency Room Data].[Age-Group].[All]" dimensionUniqueName="[Hospital Emergency Room Data]" displayFolder="" count="0" memberValueDatatype="130" unbalanced="0"/>
    <cacheHierarchy uniqueName="[Hospital Emergency Room Data].[Patient Attend Status]" caption="Patient Attend Status" attribute="1" defaultMemberUniqueName="[Hospital Emergency Room Data].[Patient Attend Status].[All]" allUniqueName="[Hospital Emergency Room Data].[Patient Attend Status].[All]" dimensionUniqueName="[Hospital Emergency Room Data]" displayFolder="" count="0" memberValueDatatype="130" unbalanced="0"/>
    <cacheHierarchy uniqueName="[Calendar_table].[Date (Day Index)]" caption="Date (Day Index)" attribute="1" defaultMemberUniqueName="[Calendar_table].[Date (Day Index)].[All]" allUniqueName="[Calendar_table].[Date (Day Index)].[All]" dimensionUniqueName="[Calendar_table]" displayFolder="" count="0" memberValueDatatype="5" unbalanced="0" hidden="1"/>
    <cacheHierarchy uniqueName="[Calendar_table].[Date (Month Index)]" caption="Date (Month Index)" attribute="1" defaultMemberUniqueName="[Calendar_table].[Date (Month Index)].[All]" allUniqueName="[Calendar_table].[Date (Month Index)].[All]" dimensionUniqueName="[Calendar_table]"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ar_table]" caption="__XL_Count Calendar_table" measure="1" displayFolder="" measureGroup="Calendar_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oneField="1" hidden="1">
      <fieldsUsage count="1">
        <fieldUsage x="2"/>
      </fieldsUsage>
      <extLst>
        <ext xmlns:x15="http://schemas.microsoft.com/office/spreadsheetml/2010/11/main" uri="{B97F6D7D-B522-45F9-BDA1-12C45D357490}">
          <x15:cacheHierarchy aggregatedColumn="14"/>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Distinct Count of Patient Admission Flag]" caption="Distinct Count of Patient Admission Flag"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Count of Age-Group]" caption="Count of Age-Group"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Count of Patient Attend Status]" caption="Count of Patient Attend Status" measure="1" displayFolder="" measureGroup="Hospital Emergency Room Data" count="0" hidden="1">
      <extLst>
        <ext xmlns:x15="http://schemas.microsoft.com/office/spreadsheetml/2010/11/main" uri="{B97F6D7D-B522-45F9-BDA1-12C45D357490}">
          <x15:cacheHierarchy aggregatedColumn="17"/>
        </ext>
      </extLst>
    </cacheHierarchy>
    <cacheHierarchy uniqueName="[Measures].[Count of Patient Gender]" caption="Count of Patient Gender" measure="1" displayFolder="" measureGroup="Hospital Emergency Room Data" count="0" hidden="1">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12"/>
        </ext>
      </extLst>
    </cacheHierarchy>
  </cacheHierarchies>
  <kpis count="0"/>
  <dimensions count="3">
    <dimension name="Calendar_table" uniqueName="[Calendar_table]" caption="Calendar_table"/>
    <dimension name="Hospital Emergency Room Data" uniqueName="[Hospital Emergency Room Data]" caption="Hospital Emergency Room Data"/>
    <dimension measure="1" name="Measures" uniqueName="[Measures]" caption="Measures"/>
  </dimensions>
  <measureGroups count="2">
    <measureGroup name="Calendar_table" caption="Calendar_tabl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urag devadiga" refreshedDate="46035.902179976852" backgroundQuery="1" createdVersion="8" refreshedVersion="8" minRefreshableVersion="3" recordCount="0" supportSubquery="1" supportAdvancedDrill="1" xr:uid="{7AC6B191-1979-42B1-8023-921AE499037D}">
  <cacheSource type="external" connectionId="3"/>
  <cacheFields count="5">
    <cacheField name="[Calendar_table].[Date (Month)].[Date (Month)]" caption="Date (Month)" numFmtId="0" hierarchy="1" level="1">
      <sharedItems containsSemiMixedTypes="0" containsNonDate="0" containsString="0"/>
    </cacheField>
    <cacheField name="[Hospital Emergency Room Data].[Patient Admission Flag].[Patient Admission Flag]" caption="Patient Admission Flag" numFmtId="0" hierarchy="13" level="1">
      <sharedItems count="2">
        <s v="Admitted"/>
        <s v="Not Admitted"/>
      </sharedItems>
    </cacheField>
    <cacheField name="[Measures].[Count of Patient Admission Flag]" caption="Count of Patient Admission Flag" numFmtId="0" hierarchy="29" level="32767"/>
    <cacheField name="[Calendar_table].[Date (Year)].[Date (Year)]" caption="Date (Year)" numFmtId="0" hierarchy="3" level="1">
      <sharedItems containsSemiMixedTypes="0" containsNonDate="0" containsString="0"/>
    </cacheField>
    <cacheField name="Unsupported0" numFmtId="0" hierarchy="35" level="32767">
      <extLst>
        <ext xmlns:x14="http://schemas.microsoft.com/office/spreadsheetml/2009/9/main" uri="{63CAB8AC-B538-458d-9737-405883B0398D}">
          <x14:cacheField ignore="1"/>
        </ext>
      </extLst>
    </cacheField>
  </cacheFields>
  <cacheHierarchies count="36">
    <cacheHierarchy uniqueName="[Calendar_table].[Date]" caption="Date" attribute="1" time="1" defaultMemberUniqueName="[Calendar_table].[Date].[All]" allUniqueName="[Calendar_table].[Date].[All]" dimensionUniqueName="[Calendar_table]" displayFolder="" count="0" memberValueDatatype="7" unbalanced="0"/>
    <cacheHierarchy uniqueName="[Calendar_table].[Date (Month)]" caption="Date (Month)" attribute="1" defaultMemberUniqueName="[Calendar_table].[Date (Month)].[All]" allUniqueName="[Calendar_table].[Date (Month)].[All]" dimensionUniqueName="[Calendar_table]" displayFolder="" count="2" memberValueDatatype="130" unbalanced="0">
      <fieldsUsage count="2">
        <fieldUsage x="-1"/>
        <fieldUsage x="0"/>
      </fieldsUsage>
    </cacheHierarchy>
    <cacheHierarchy uniqueName="[Calendar_table].[Date (Day)]" caption="Date (Day)" attribute="1" defaultMemberUniqueName="[Calendar_table].[Date (Day)].[All]" allUniqueName="[Calendar_table].[Date (Day)].[All]" dimensionUniqueName="[Calendar_table]" displayFolder="" count="0" memberValueDatatype="130" unbalanced="0"/>
    <cacheHierarchy uniqueName="[Calendar_table].[Date (Year)]" caption="Date (Year)" attribute="1" defaultMemberUniqueName="[Calendar_table].[Date (Year)].[All]" allUniqueName="[Calendar_table].[Date (Year)].[All]" dimensionUniqueName="[Calendar_table]" displayFolder="" count="2" memberValueDatatype="130" unbalanced="0">
      <fieldsUsage count="2">
        <fieldUsage x="-1"/>
        <fieldUsage x="3"/>
      </fieldsUsage>
    </cacheHierarchy>
    <cacheHierarchy uniqueName="[Calendar_table].[Date (Quarter)]" caption="Date (Quarter)" attribute="1" defaultMemberUniqueName="[Calendar_table].[Date (Quarter)].[All]" allUniqueName="[Calendar_table].[Date (Quarter)].[All]" dimensionUniqueName="[Calendar_table]"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Merged]" caption="Merged" attribute="1" defaultMemberUniqueName="[Hospital Emergency Room Data].[Merged].[All]" allUniqueName="[Hospital Emergency Room Data].[Merged].[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2" memberValueDatatype="130" unbalanced="0">
      <fieldsUsage count="2">
        <fieldUsage x="-1"/>
        <fieldUsage x="1"/>
      </fieldsUsage>
    </cacheHierarchy>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Group]" caption="Age-Group" attribute="1" defaultMemberUniqueName="[Hospital Emergency Room Data].[Age-Group].[All]" allUniqueName="[Hospital Emergency Room Data].[Age-Group].[All]" dimensionUniqueName="[Hospital Emergency Room Data]" displayFolder="" count="0" memberValueDatatype="130" unbalanced="0"/>
    <cacheHierarchy uniqueName="[Hospital Emergency Room Data].[Patient Attend Status]" caption="Patient Attend Status" attribute="1" defaultMemberUniqueName="[Hospital Emergency Room Data].[Patient Attend Status].[All]" allUniqueName="[Hospital Emergency Room Data].[Patient Attend Status].[All]" dimensionUniqueName="[Hospital Emergency Room Data]" displayFolder="" count="0" memberValueDatatype="130" unbalanced="0"/>
    <cacheHierarchy uniqueName="[Calendar_table].[Date (Day Index)]" caption="Date (Day Index)" attribute="1" defaultMemberUniqueName="[Calendar_table].[Date (Day Index)].[All]" allUniqueName="[Calendar_table].[Date (Day Index)].[All]" dimensionUniqueName="[Calendar_table]" displayFolder="" count="0" memberValueDatatype="5" unbalanced="0" hidden="1"/>
    <cacheHierarchy uniqueName="[Calendar_table].[Date (Month Index)]" caption="Date (Month Index)" attribute="1" defaultMemberUniqueName="[Calendar_table].[Date (Month Index)].[All]" allUniqueName="[Calendar_table].[Date (Month Index)].[All]" dimensionUniqueName="[Calendar_table]"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ar_table]" caption="__XL_Count Calendar_table" measure="1" displayFolder="" measureGroup="Calendar_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Count of Patient Admission Flag]" caption="Count of Patient Admission Flag" measure="1" displayFolder="" measureGroup="Hospital Emergency Room Data" count="0" oneField="1" hidden="1">
      <fieldsUsage count="1">
        <fieldUsage x="2"/>
      </fieldsUsage>
      <extLst>
        <ext xmlns:x15="http://schemas.microsoft.com/office/spreadsheetml/2010/11/main" uri="{B97F6D7D-B522-45F9-BDA1-12C45D357490}">
          <x15:cacheHierarchy aggregatedColumn="13"/>
        </ext>
      </extLst>
    </cacheHierarchy>
    <cacheHierarchy uniqueName="[Measures].[Distinct Count of Patient Admission Flag]" caption="Distinct Count of Patient Admission Flag"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Count of Age-Group]" caption="Count of Age-Group"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Count of Patient Attend Status]" caption="Count of Patient Attend Status" measure="1" displayFolder="" measureGroup="Hospital Emergency Room Data" count="0" hidden="1">
      <extLst>
        <ext xmlns:x15="http://schemas.microsoft.com/office/spreadsheetml/2010/11/main" uri="{B97F6D7D-B522-45F9-BDA1-12C45D357490}">
          <x15:cacheHierarchy aggregatedColumn="17"/>
        </ext>
      </extLst>
    </cacheHierarchy>
    <cacheHierarchy uniqueName="[Measures].[Count of Patient Gender]" caption="Count of Patient Gender" measure="1" displayFolder="" measureGroup="Hospital Emergency Room Data" count="0" hidden="1">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12"/>
        </ext>
      </extLst>
    </cacheHierarchy>
    <cacheHierarchy uniqueName="Unsupported0" caption="Date" measure="1" count="0">
      <extLst>
        <ext xmlns:x14="http://schemas.microsoft.com/office/spreadsheetml/2009/9/main" uri="{8CF416AD-EC4C-4aba-99F5-12A058AE0983}">
          <x14:cacheHierarchy ignore="1"/>
        </ext>
      </extLst>
    </cacheHierarchy>
  </cacheHierarchies>
  <kpis count="0"/>
  <dimensions count="3">
    <dimension name="Calendar_table" uniqueName="[Calendar_table]" caption="Calendar_table"/>
    <dimension name="Hospital Emergency Room Data" uniqueName="[Hospital Emergency Room Data]" caption="Hospital Emergency Room Data"/>
    <dimension measure="1" name="Measures" uniqueName="[Measures]" caption="Measures"/>
  </dimensions>
  <measureGroups count="2">
    <measureGroup name="Calendar_table" caption="Calendar_tabl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urag devadiga" refreshedDate="46035.902180324076" backgroundQuery="1" createdVersion="8" refreshedVersion="8" minRefreshableVersion="3" recordCount="0" supportSubquery="1" supportAdvancedDrill="1" xr:uid="{A3C6C54D-51E8-4457-9F0F-50C24062C9D4}">
  <cacheSource type="external" connectionId="3"/>
  <cacheFields count="4">
    <cacheField name="[Calendar_table].[Date (Month)].[Date (Month)]" caption="Date (Month)" numFmtId="0" hierarchy="1" level="1">
      <sharedItems containsSemiMixedTypes="0" containsNonDate="0" containsString="0"/>
    </cacheField>
    <cacheField name="[Hospital Emergency Room Data].[Age-Group].[Age-Group]" caption="Age-Group" numFmtId="0" hierarchy="16" level="1">
      <sharedItems count="8">
        <s v="0-09"/>
        <s v="10-19"/>
        <s v="20-29"/>
        <s v="30-39"/>
        <s v="40-49"/>
        <s v="50-59"/>
        <s v="60-69"/>
        <s v="70-79"/>
      </sharedItems>
    </cacheField>
    <cacheField name="[Measures].[Count of Age-Group]" caption="Count of Age-Group" numFmtId="0" hierarchy="31" level="32767"/>
    <cacheField name="[Calendar_table].[Date (Year)].[Date (Year)]" caption="Date (Year)" numFmtId="0" hierarchy="3" level="1">
      <sharedItems containsSemiMixedTypes="0" containsNonDate="0" containsString="0"/>
    </cacheField>
  </cacheFields>
  <cacheHierarchies count="35">
    <cacheHierarchy uniqueName="[Calendar_table].[Date]" caption="Date" attribute="1" time="1" defaultMemberUniqueName="[Calendar_table].[Date].[All]" allUniqueName="[Calendar_table].[Date].[All]" dimensionUniqueName="[Calendar_table]" displayFolder="" count="0" memberValueDatatype="7" unbalanced="0"/>
    <cacheHierarchy uniqueName="[Calendar_table].[Date (Month)]" caption="Date (Month)" attribute="1" defaultMemberUniqueName="[Calendar_table].[Date (Month)].[All]" allUniqueName="[Calendar_table].[Date (Month)].[All]" dimensionUniqueName="[Calendar_table]" displayFolder="" count="2" memberValueDatatype="130" unbalanced="0">
      <fieldsUsage count="2">
        <fieldUsage x="-1"/>
        <fieldUsage x="0"/>
      </fieldsUsage>
    </cacheHierarchy>
    <cacheHierarchy uniqueName="[Calendar_table].[Date (Day)]" caption="Date (Day)" attribute="1" defaultMemberUniqueName="[Calendar_table].[Date (Day)].[All]" allUniqueName="[Calendar_table].[Date (Day)].[All]" dimensionUniqueName="[Calendar_table]" displayFolder="" count="0" memberValueDatatype="130" unbalanced="0"/>
    <cacheHierarchy uniqueName="[Calendar_table].[Date (Year)]" caption="Date (Year)" attribute="1" defaultMemberUniqueName="[Calendar_table].[Date (Year)].[All]" allUniqueName="[Calendar_table].[Date (Year)].[All]" dimensionUniqueName="[Calendar_table]" displayFolder="" count="2" memberValueDatatype="130" unbalanced="0">
      <fieldsUsage count="2">
        <fieldUsage x="-1"/>
        <fieldUsage x="3"/>
      </fieldsUsage>
    </cacheHierarchy>
    <cacheHierarchy uniqueName="[Calendar_table].[Date (Quarter)]" caption="Date (Quarter)" attribute="1" defaultMemberUniqueName="[Calendar_table].[Date (Quarter)].[All]" allUniqueName="[Calendar_table].[Date (Quarter)].[All]" dimensionUniqueName="[Calendar_table]"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Merged]" caption="Merged" attribute="1" defaultMemberUniqueName="[Hospital Emergency Room Data].[Merged].[All]" allUniqueName="[Hospital Emergency Room Data].[Merged].[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Group]" caption="Age-Group" attribute="1" defaultMemberUniqueName="[Hospital Emergency Room Data].[Age-Group].[All]" allUniqueName="[Hospital Emergency Room Data].[Age-Group].[All]" dimensionUniqueName="[Hospital Emergency Room Data]" displayFolder="" count="2" memberValueDatatype="130" unbalanced="0">
      <fieldsUsage count="2">
        <fieldUsage x="-1"/>
        <fieldUsage x="1"/>
      </fieldsUsage>
    </cacheHierarchy>
    <cacheHierarchy uniqueName="[Hospital Emergency Room Data].[Patient Attend Status]" caption="Patient Attend Status" attribute="1" defaultMemberUniqueName="[Hospital Emergency Room Data].[Patient Attend Status].[All]" allUniqueName="[Hospital Emergency Room Data].[Patient Attend Status].[All]" dimensionUniqueName="[Hospital Emergency Room Data]" displayFolder="" count="0" memberValueDatatype="130" unbalanced="0"/>
    <cacheHierarchy uniqueName="[Calendar_table].[Date (Day Index)]" caption="Date (Day Index)" attribute="1" defaultMemberUniqueName="[Calendar_table].[Date (Day Index)].[All]" allUniqueName="[Calendar_table].[Date (Day Index)].[All]" dimensionUniqueName="[Calendar_table]" displayFolder="" count="0" memberValueDatatype="5" unbalanced="0" hidden="1"/>
    <cacheHierarchy uniqueName="[Calendar_table].[Date (Month Index)]" caption="Date (Month Index)" attribute="1" defaultMemberUniqueName="[Calendar_table].[Date (Month Index)].[All]" allUniqueName="[Calendar_table].[Date (Month Index)].[All]" dimensionUniqueName="[Calendar_table]"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ar_table]" caption="__XL_Count Calendar_table" measure="1" displayFolder="" measureGroup="Calendar_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Distinct Count of Patient Admission Flag]" caption="Distinct Count of Patient Admission Flag"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Count of Age-Group]" caption="Count of Age-Group" measure="1" displayFolder="" measureGroup="Hospital Emergency Room Data" count="0" oneField="1" hidden="1">
      <fieldsUsage count="1">
        <fieldUsage x="2"/>
      </fieldsUsage>
      <extLst>
        <ext xmlns:x15="http://schemas.microsoft.com/office/spreadsheetml/2010/11/main" uri="{B97F6D7D-B522-45F9-BDA1-12C45D357490}">
          <x15:cacheHierarchy aggregatedColumn="16"/>
        </ext>
      </extLst>
    </cacheHierarchy>
    <cacheHierarchy uniqueName="[Measures].[Count of Patient Attend Status]" caption="Count of Patient Attend Status" measure="1" displayFolder="" measureGroup="Hospital Emergency Room Data" count="0" hidden="1">
      <extLst>
        <ext xmlns:x15="http://schemas.microsoft.com/office/spreadsheetml/2010/11/main" uri="{B97F6D7D-B522-45F9-BDA1-12C45D357490}">
          <x15:cacheHierarchy aggregatedColumn="17"/>
        </ext>
      </extLst>
    </cacheHierarchy>
    <cacheHierarchy uniqueName="[Measures].[Count of Patient Gender]" caption="Count of Patient Gender" measure="1" displayFolder="" measureGroup="Hospital Emergency Room Data" count="0" hidden="1">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12"/>
        </ext>
      </extLst>
    </cacheHierarchy>
  </cacheHierarchies>
  <kpis count="0"/>
  <dimensions count="3">
    <dimension name="Calendar_table" uniqueName="[Calendar_table]" caption="Calendar_table"/>
    <dimension name="Hospital Emergency Room Data" uniqueName="[Hospital Emergency Room Data]" caption="Hospital Emergency Room Data"/>
    <dimension measure="1" name="Measures" uniqueName="[Measures]" caption="Measures"/>
  </dimensions>
  <measureGroups count="2">
    <measureGroup name="Calendar_table" caption="Calendar_tabl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9.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urag devadiga" refreshedDate="46035.902180671299" backgroundQuery="1" createdVersion="8" refreshedVersion="8" minRefreshableVersion="3" recordCount="0" supportSubquery="1" supportAdvancedDrill="1" xr:uid="{BB74CCA0-5517-4419-B980-465A9294AD9A}">
  <cacheSource type="external" connectionId="3"/>
  <cacheFields count="4">
    <cacheField name="[Calendar_table].[Date (Month)].[Date (Month)]" caption="Date (Month)" numFmtId="0" hierarchy="1" level="1">
      <sharedItems containsSemiMixedTypes="0" containsNonDate="0" containsString="0"/>
    </cacheField>
    <cacheField name="[Hospital Emergency Room Data].[Patient Attend Status].[Patient Attend Status]" caption="Patient Attend Status" numFmtId="0" hierarchy="17" level="1">
      <sharedItems count="2">
        <s v="Delay"/>
        <s v="On-Time"/>
      </sharedItems>
    </cacheField>
    <cacheField name="[Measures].[Count of Patient Attend Status]" caption="Count of Patient Attend Status" numFmtId="0" hierarchy="32" level="32767"/>
    <cacheField name="[Calendar_table].[Date (Year)].[Date (Year)]" caption="Date (Year)" numFmtId="0" hierarchy="3" level="1">
      <sharedItems containsSemiMixedTypes="0" containsNonDate="0" containsString="0"/>
    </cacheField>
  </cacheFields>
  <cacheHierarchies count="35">
    <cacheHierarchy uniqueName="[Calendar_table].[Date]" caption="Date" attribute="1" time="1" defaultMemberUniqueName="[Calendar_table].[Date].[All]" allUniqueName="[Calendar_table].[Date].[All]" dimensionUniqueName="[Calendar_table]" displayFolder="" count="0" memberValueDatatype="7" unbalanced="0"/>
    <cacheHierarchy uniqueName="[Calendar_table].[Date (Month)]" caption="Date (Month)" attribute="1" defaultMemberUniqueName="[Calendar_table].[Date (Month)].[All]" allUniqueName="[Calendar_table].[Date (Month)].[All]" dimensionUniqueName="[Calendar_table]" displayFolder="" count="2" memberValueDatatype="130" unbalanced="0">
      <fieldsUsage count="2">
        <fieldUsage x="-1"/>
        <fieldUsage x="0"/>
      </fieldsUsage>
    </cacheHierarchy>
    <cacheHierarchy uniqueName="[Calendar_table].[Date (Day)]" caption="Date (Day)" attribute="1" defaultMemberUniqueName="[Calendar_table].[Date (Day)].[All]" allUniqueName="[Calendar_table].[Date (Day)].[All]" dimensionUniqueName="[Calendar_table]" displayFolder="" count="0" memberValueDatatype="130" unbalanced="0"/>
    <cacheHierarchy uniqueName="[Calendar_table].[Date (Year)]" caption="Date (Year)" attribute="1" defaultMemberUniqueName="[Calendar_table].[Date (Year)].[All]" allUniqueName="[Calendar_table].[Date (Year)].[All]" dimensionUniqueName="[Calendar_table]" displayFolder="" count="2" memberValueDatatype="130" unbalanced="0">
      <fieldsUsage count="2">
        <fieldUsage x="-1"/>
        <fieldUsage x="3"/>
      </fieldsUsage>
    </cacheHierarchy>
    <cacheHierarchy uniqueName="[Calendar_table].[Date (Quarter)]" caption="Date (Quarter)" attribute="1" defaultMemberUniqueName="[Calendar_table].[Date (Quarter)].[All]" allUniqueName="[Calendar_table].[Date (Quarter)].[All]" dimensionUniqueName="[Calendar_table]"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Merged]" caption="Merged" attribute="1" defaultMemberUniqueName="[Hospital Emergency Room Data].[Merged].[All]" allUniqueName="[Hospital Emergency Room Data].[Merged].[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Group]" caption="Age-Group" attribute="1" defaultMemberUniqueName="[Hospital Emergency Room Data].[Age-Group].[All]" allUniqueName="[Hospital Emergency Room Data].[Age-Group].[All]" dimensionUniqueName="[Hospital Emergency Room Data]" displayFolder="" count="0" memberValueDatatype="130" unbalanced="0"/>
    <cacheHierarchy uniqueName="[Hospital Emergency Room Data].[Patient Attend Status]" caption="Patient Attend Status" attribute="1" defaultMemberUniqueName="[Hospital Emergency Room Data].[Patient Attend Status].[All]" allUniqueName="[Hospital Emergency Room Data].[Patient Attend Status].[All]" dimensionUniqueName="[Hospital Emergency Room Data]" displayFolder="" count="2" memberValueDatatype="130" unbalanced="0">
      <fieldsUsage count="2">
        <fieldUsage x="-1"/>
        <fieldUsage x="1"/>
      </fieldsUsage>
    </cacheHierarchy>
    <cacheHierarchy uniqueName="[Calendar_table].[Date (Day Index)]" caption="Date (Day Index)" attribute="1" defaultMemberUniqueName="[Calendar_table].[Date (Day Index)].[All]" allUniqueName="[Calendar_table].[Date (Day Index)].[All]" dimensionUniqueName="[Calendar_table]" displayFolder="" count="0" memberValueDatatype="5" unbalanced="0" hidden="1"/>
    <cacheHierarchy uniqueName="[Calendar_table].[Date (Month Index)]" caption="Date (Month Index)" attribute="1" defaultMemberUniqueName="[Calendar_table].[Date (Month Index)].[All]" allUniqueName="[Calendar_table].[Date (Month Index)].[All]" dimensionUniqueName="[Calendar_table]"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ar_table]" caption="__XL_Count Calendar_table" measure="1" displayFolder="" measureGroup="Calendar_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Distinct Count of Patient Admission Flag]" caption="Distinct Count of Patient Admission Flag"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Count of Age-Group]" caption="Count of Age-Group"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Count of Patient Attend Status]" caption="Count of Patient Attend Status" measure="1" displayFolder="" measureGroup="Hospital Emergency Room Data" count="0" oneField="1" hidden="1">
      <fieldsUsage count="1">
        <fieldUsage x="2"/>
      </fieldsUsage>
      <extLst>
        <ext xmlns:x15="http://schemas.microsoft.com/office/spreadsheetml/2010/11/main" uri="{B97F6D7D-B522-45F9-BDA1-12C45D357490}">
          <x15:cacheHierarchy aggregatedColumn="17"/>
        </ext>
      </extLst>
    </cacheHierarchy>
    <cacheHierarchy uniqueName="[Measures].[Count of Patient Gender]" caption="Count of Patient Gender" measure="1" displayFolder="" measureGroup="Hospital Emergency Room Data" count="0" hidden="1">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12"/>
        </ext>
      </extLst>
    </cacheHierarchy>
  </cacheHierarchies>
  <kpis count="0"/>
  <dimensions count="3">
    <dimension name="Calendar_table" uniqueName="[Calendar_table]" caption="Calendar_table"/>
    <dimension name="Hospital Emergency Room Data" uniqueName="[Hospital Emergency Room Data]" caption="Hospital Emergency Room Data"/>
    <dimension measure="1" name="Measures" uniqueName="[Measures]" caption="Measures"/>
  </dimensions>
  <measureGroups count="2">
    <measureGroup name="Calendar_table" caption="Calendar_tabl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0.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urag devadiga" refreshedDate="46035.902181018515" backgroundQuery="1" createdVersion="8" refreshedVersion="8" minRefreshableVersion="3" recordCount="0" supportSubquery="1" supportAdvancedDrill="1" xr:uid="{36417876-5CCD-44EA-A966-CBD484AAE022}">
  <cacheSource type="external" connectionId="3"/>
  <cacheFields count="4">
    <cacheField name="[Calendar_table].[Date (Month)].[Date (Month)]" caption="Date (Month)" numFmtId="0" hierarchy="1" level="1">
      <sharedItems containsSemiMixedTypes="0" containsNonDate="0" containsString="0"/>
    </cacheField>
    <cacheField name="[Hospital Emergency Room Data].[Patient Gender].[Patient Gender]" caption="Patient Gender" numFmtId="0" hierarchy="9" level="1">
      <sharedItems count="2">
        <s v="Female"/>
        <s v="Male"/>
      </sharedItems>
    </cacheField>
    <cacheField name="[Measures].[Count of Patient Gender]" caption="Count of Patient Gender" numFmtId="0" hierarchy="33" level="32767"/>
    <cacheField name="[Calendar_table].[Date (Year)].[Date (Year)]" caption="Date (Year)" numFmtId="0" hierarchy="3" level="1">
      <sharedItems containsSemiMixedTypes="0" containsNonDate="0" containsString="0"/>
    </cacheField>
  </cacheFields>
  <cacheHierarchies count="35">
    <cacheHierarchy uniqueName="[Calendar_table].[Date]" caption="Date" attribute="1" time="1" defaultMemberUniqueName="[Calendar_table].[Date].[All]" allUniqueName="[Calendar_table].[Date].[All]" dimensionUniqueName="[Calendar_table]" displayFolder="" count="0" memberValueDatatype="7" unbalanced="0"/>
    <cacheHierarchy uniqueName="[Calendar_table].[Date (Month)]" caption="Date (Month)" attribute="1" defaultMemberUniqueName="[Calendar_table].[Date (Month)].[All]" allUniqueName="[Calendar_table].[Date (Month)].[All]" dimensionUniqueName="[Calendar_table]" displayFolder="" count="2" memberValueDatatype="130" unbalanced="0">
      <fieldsUsage count="2">
        <fieldUsage x="-1"/>
        <fieldUsage x="0"/>
      </fieldsUsage>
    </cacheHierarchy>
    <cacheHierarchy uniqueName="[Calendar_table].[Date (Day)]" caption="Date (Day)" attribute="1" defaultMemberUniqueName="[Calendar_table].[Date (Day)].[All]" allUniqueName="[Calendar_table].[Date (Day)].[All]" dimensionUniqueName="[Calendar_table]" displayFolder="" count="0" memberValueDatatype="130" unbalanced="0"/>
    <cacheHierarchy uniqueName="[Calendar_table].[Date (Year)]" caption="Date (Year)" attribute="1" defaultMemberUniqueName="[Calendar_table].[Date (Year)].[All]" allUniqueName="[Calendar_table].[Date (Year)].[All]" dimensionUniqueName="[Calendar_table]" displayFolder="" count="2" memberValueDatatype="130" unbalanced="0">
      <fieldsUsage count="2">
        <fieldUsage x="-1"/>
        <fieldUsage x="3"/>
      </fieldsUsage>
    </cacheHierarchy>
    <cacheHierarchy uniqueName="[Calendar_table].[Date (Quarter)]" caption="Date (Quarter)" attribute="1" defaultMemberUniqueName="[Calendar_table].[Date (Quarter)].[All]" allUniqueName="[Calendar_table].[Date (Quarter)].[All]" dimensionUniqueName="[Calendar_table]"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Merged]" caption="Merged" attribute="1" defaultMemberUniqueName="[Hospital Emergency Room Data].[Merged].[All]" allUniqueName="[Hospital Emergency Room Data].[Merged].[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2" memberValueDatatype="130" unbalanced="0">
      <fieldsUsage count="2">
        <fieldUsage x="-1"/>
        <fieldUsage x="1"/>
      </fieldsUsage>
    </cacheHierarchy>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Group]" caption="Age-Group" attribute="1" defaultMemberUniqueName="[Hospital Emergency Room Data].[Age-Group].[All]" allUniqueName="[Hospital Emergency Room Data].[Age-Group].[All]" dimensionUniqueName="[Hospital Emergency Room Data]" displayFolder="" count="0" memberValueDatatype="130" unbalanced="0"/>
    <cacheHierarchy uniqueName="[Hospital Emergency Room Data].[Patient Attend Status]" caption="Patient Attend Status" attribute="1" defaultMemberUniqueName="[Hospital Emergency Room Data].[Patient Attend Status].[All]" allUniqueName="[Hospital Emergency Room Data].[Patient Attend Status].[All]" dimensionUniqueName="[Hospital Emergency Room Data]" displayFolder="" count="0" memberValueDatatype="130" unbalanced="0"/>
    <cacheHierarchy uniqueName="[Calendar_table].[Date (Day Index)]" caption="Date (Day Index)" attribute="1" defaultMemberUniqueName="[Calendar_table].[Date (Day Index)].[All]" allUniqueName="[Calendar_table].[Date (Day Index)].[All]" dimensionUniqueName="[Calendar_table]" displayFolder="" count="0" memberValueDatatype="5" unbalanced="0" hidden="1"/>
    <cacheHierarchy uniqueName="[Calendar_table].[Date (Month Index)]" caption="Date (Month Index)" attribute="1" defaultMemberUniqueName="[Calendar_table].[Date (Month Index)].[All]" allUniqueName="[Calendar_table].[Date (Month Index)].[All]" dimensionUniqueName="[Calendar_table]"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ar_table]" caption="__XL_Count Calendar_table" measure="1" displayFolder="" measureGroup="Calendar_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Distinct Count of Patient Admission Flag]" caption="Distinct Count of Patient Admission Flag"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Count of Age-Group]" caption="Count of Age-Group"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Count of Patient Attend Status]" caption="Count of Patient Attend Status" measure="1" displayFolder="" measureGroup="Hospital Emergency Room Data" count="0" hidden="1">
      <extLst>
        <ext xmlns:x15="http://schemas.microsoft.com/office/spreadsheetml/2010/11/main" uri="{B97F6D7D-B522-45F9-BDA1-12C45D357490}">
          <x15:cacheHierarchy aggregatedColumn="17"/>
        </ext>
      </extLst>
    </cacheHierarchy>
    <cacheHierarchy uniqueName="[Measures].[Count of Patient Gender]" caption="Count of Patient Gender" measure="1" displayFolder="" measureGroup="Hospital Emergency Room Data" count="0" oneField="1" hidden="1">
      <fieldsUsage count="1">
        <fieldUsage x="2"/>
      </fieldsUsage>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12"/>
        </ext>
      </extLst>
    </cacheHierarchy>
  </cacheHierarchies>
  <kpis count="0"/>
  <dimensions count="3">
    <dimension name="Calendar_table" uniqueName="[Calendar_table]" caption="Calendar_table"/>
    <dimension name="Hospital Emergency Room Data" uniqueName="[Hospital Emergency Room Data]" caption="Hospital Emergency Room Data"/>
    <dimension measure="1" name="Measures" uniqueName="[Measures]" caption="Measures"/>
  </dimensions>
  <measureGroups count="2">
    <measureGroup name="Calendar_table" caption="Calendar_tabl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urag devadiga" refreshedDate="46035.902181365738" backgroundQuery="1" createdVersion="8" refreshedVersion="8" minRefreshableVersion="3" recordCount="0" supportSubquery="1" supportAdvancedDrill="1" xr:uid="{63D365B3-FBE6-4E55-A526-82EC718CAA5E}">
  <cacheSource type="external" connectionId="3"/>
  <cacheFields count="4">
    <cacheField name="[Calendar_table].[Date (Month)].[Date (Month)]" caption="Date (Month)" numFmtId="0" hierarchy="1" level="1">
      <sharedItems containsSemiMixedTypes="0" containsNonDate="0" containsString="0"/>
    </cacheField>
    <cacheField name="[Hospital Emergency Room Data].[Department Referral].[Department Referral]" caption="Department Referral" numFmtId="0" hierarchy="12" level="1">
      <sharedItems count="8">
        <s v="Cardiology"/>
        <s v="Gastroenterology"/>
        <s v="General Practice"/>
        <s v="Neurology"/>
        <s v="None"/>
        <s v="Orthopedics"/>
        <s v="Physiotherapy"/>
        <s v="Renal"/>
      </sharedItems>
    </cacheField>
    <cacheField name="[Measures].[Count of Department Referral]" caption="Count of Department Referral" numFmtId="0" hierarchy="34" level="32767"/>
    <cacheField name="[Calendar_table].[Date (Year)].[Date (Year)]" caption="Date (Year)" numFmtId="0" hierarchy="3" level="1">
      <sharedItems containsSemiMixedTypes="0" containsNonDate="0" containsString="0"/>
    </cacheField>
  </cacheFields>
  <cacheHierarchies count="35">
    <cacheHierarchy uniqueName="[Calendar_table].[Date]" caption="Date" attribute="1" time="1" defaultMemberUniqueName="[Calendar_table].[Date].[All]" allUniqueName="[Calendar_table].[Date].[All]" dimensionUniqueName="[Calendar_table]" displayFolder="" count="0" memberValueDatatype="7" unbalanced="0"/>
    <cacheHierarchy uniqueName="[Calendar_table].[Date (Month)]" caption="Date (Month)" attribute="1" defaultMemberUniqueName="[Calendar_table].[Date (Month)].[All]" allUniqueName="[Calendar_table].[Date (Month)].[All]" dimensionUniqueName="[Calendar_table]" displayFolder="" count="2" memberValueDatatype="130" unbalanced="0">
      <fieldsUsage count="2">
        <fieldUsage x="-1"/>
        <fieldUsage x="0"/>
      </fieldsUsage>
    </cacheHierarchy>
    <cacheHierarchy uniqueName="[Calendar_table].[Date (Day)]" caption="Date (Day)" attribute="1" defaultMemberUniqueName="[Calendar_table].[Date (Day)].[All]" allUniqueName="[Calendar_table].[Date (Day)].[All]" dimensionUniqueName="[Calendar_table]" displayFolder="" count="0" memberValueDatatype="130" unbalanced="0"/>
    <cacheHierarchy uniqueName="[Calendar_table].[Date (Year)]" caption="Date (Year)" attribute="1" defaultMemberUniqueName="[Calendar_table].[Date (Year)].[All]" allUniqueName="[Calendar_table].[Date (Year)].[All]" dimensionUniqueName="[Calendar_table]" displayFolder="" count="2" memberValueDatatype="130" unbalanced="0">
      <fieldsUsage count="2">
        <fieldUsage x="-1"/>
        <fieldUsage x="3"/>
      </fieldsUsage>
    </cacheHierarchy>
    <cacheHierarchy uniqueName="[Calendar_table].[Date (Quarter)]" caption="Date (Quarter)" attribute="1" defaultMemberUniqueName="[Calendar_table].[Date (Quarter)].[All]" allUniqueName="[Calendar_table].[Date (Quarter)].[All]" dimensionUniqueName="[Calendar_table]"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Merged]" caption="Merged" attribute="1" defaultMemberUniqueName="[Hospital Emergency Room Data].[Merged].[All]" allUniqueName="[Hospital Emergency Room Data].[Merged].[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2" memberValueDatatype="130" unbalanced="0">
      <fieldsUsage count="2">
        <fieldUsage x="-1"/>
        <fieldUsage x="1"/>
      </fieldsUsage>
    </cacheHierarchy>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Group]" caption="Age-Group" attribute="1" defaultMemberUniqueName="[Hospital Emergency Room Data].[Age-Group].[All]" allUniqueName="[Hospital Emergency Room Data].[Age-Group].[All]" dimensionUniqueName="[Hospital Emergency Room Data]" displayFolder="" count="0" memberValueDatatype="130" unbalanced="0"/>
    <cacheHierarchy uniqueName="[Hospital Emergency Room Data].[Patient Attend Status]" caption="Patient Attend Status" attribute="1" defaultMemberUniqueName="[Hospital Emergency Room Data].[Patient Attend Status].[All]" allUniqueName="[Hospital Emergency Room Data].[Patient Attend Status].[All]" dimensionUniqueName="[Hospital Emergency Room Data]" displayFolder="" count="0" memberValueDatatype="130" unbalanced="0"/>
    <cacheHierarchy uniqueName="[Calendar_table].[Date (Day Index)]" caption="Date (Day Index)" attribute="1" defaultMemberUniqueName="[Calendar_table].[Date (Day Index)].[All]" allUniqueName="[Calendar_table].[Date (Day Index)].[All]" dimensionUniqueName="[Calendar_table]" displayFolder="" count="0" memberValueDatatype="5" unbalanced="0" hidden="1"/>
    <cacheHierarchy uniqueName="[Calendar_table].[Date (Month Index)]" caption="Date (Month Index)" attribute="1" defaultMemberUniqueName="[Calendar_table].[Date (Month Index)].[All]" allUniqueName="[Calendar_table].[Date (Month Index)].[All]" dimensionUniqueName="[Calendar_table]"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ar_table]" caption="__XL_Count Calendar_table" measure="1" displayFolder="" measureGroup="Calendar_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Distinct Count of Patient Admission Flag]" caption="Distinct Count of Patient Admission Flag"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Count of Age-Group]" caption="Count of Age-Group"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Count of Patient Attend Status]" caption="Count of Patient Attend Status" measure="1" displayFolder="" measureGroup="Hospital Emergency Room Data" count="0" hidden="1">
      <extLst>
        <ext xmlns:x15="http://schemas.microsoft.com/office/spreadsheetml/2010/11/main" uri="{B97F6D7D-B522-45F9-BDA1-12C45D357490}">
          <x15:cacheHierarchy aggregatedColumn="17"/>
        </ext>
      </extLst>
    </cacheHierarchy>
    <cacheHierarchy uniqueName="[Measures].[Count of Patient Gender]" caption="Count of Patient Gender" measure="1" displayFolder="" measureGroup="Hospital Emergency Room Data" count="0" hidden="1">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Hospital Emergency Room Data" count="0" oneField="1" hidden="1">
      <fieldsUsage count="1">
        <fieldUsage x="2"/>
      </fieldsUsage>
      <extLst>
        <ext xmlns:x15="http://schemas.microsoft.com/office/spreadsheetml/2010/11/main" uri="{B97F6D7D-B522-45F9-BDA1-12C45D357490}">
          <x15:cacheHierarchy aggregatedColumn="12"/>
        </ext>
      </extLst>
    </cacheHierarchy>
  </cacheHierarchies>
  <kpis count="0"/>
  <dimensions count="3">
    <dimension name="Calendar_table" uniqueName="[Calendar_table]" caption="Calendar_table"/>
    <dimension name="Hospital Emergency Room Data" uniqueName="[Hospital Emergency Room Data]" caption="Hospital Emergency Room Data"/>
    <dimension measure="1" name="Measures" uniqueName="[Measures]" caption="Measures"/>
  </dimensions>
  <measureGroups count="2">
    <measureGroup name="Calendar_table" caption="Calendar_tabl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urag devadiga" refreshedDate="46035.902181712961" backgroundQuery="1" createdVersion="8" refreshedVersion="8" minRefreshableVersion="3" recordCount="0" supportSubquery="1" supportAdvancedDrill="1" xr:uid="{AF11E4DE-F6DE-47C2-88BB-10BA0DEA6DDC}">
  <cacheSource type="external" connectionId="3"/>
  <cacheFields count="4">
    <cacheField name="[Calendar_table].[Date (Month)].[Date (Month)]" caption="Date (Month)" numFmtId="0" hierarchy="1" level="1">
      <sharedItems count="1">
        <s v="Jan"/>
      </sharedItems>
    </cacheField>
    <cacheField name="[Calendar_table].[Date].[Date]" caption="Date" numFmtId="0" level="1">
      <sharedItems containsSemiMixedTypes="0" containsNonDate="0" containsDate="1" containsString="0" minDate="2023-01-01T00:00:00" maxDate="2024-02-01T00:00:00" count="62">
        <d v="2023-01-01T00:00:00"/>
        <d v="2023-01-02T00:00:00"/>
        <d v="2023-01-03T00:00:00"/>
        <d v="2023-01-04T00:00:00"/>
        <d v="2023-01-05T00:00:00"/>
        <d v="2023-01-06T00:00:00"/>
        <d v="2023-01-07T00:00:00"/>
        <d v="2023-01-08T00:00:00"/>
        <d v="2023-01-09T00:00:00"/>
        <d v="2023-01-10T00:00:00"/>
        <d v="2023-01-11T00:00:00"/>
        <d v="2023-01-12T00:00:00"/>
        <d v="2023-01-13T00:00:00"/>
        <d v="2023-01-14T00:00:00"/>
        <d v="2023-01-15T00:00:00"/>
        <d v="2023-01-16T00:00:00"/>
        <d v="2023-01-17T00:00:00"/>
        <d v="2023-01-18T00:00:00"/>
        <d v="2023-01-19T00:00:00"/>
        <d v="2023-01-20T00:00:00"/>
        <d v="2023-01-21T00:00:00"/>
        <d v="2023-01-22T00:00:00"/>
        <d v="2023-01-23T00:00:00"/>
        <d v="2023-01-24T00:00:00"/>
        <d v="2023-01-25T00:00:00"/>
        <d v="2023-01-26T00:00:00"/>
        <d v="2023-01-27T00:00:00"/>
        <d v="2023-01-28T00:00:00"/>
        <d v="2023-01-29T00:00:00"/>
        <d v="2023-01-30T00:00:00"/>
        <d v="2023-01-31T00:00:00"/>
        <d v="2024-01-01T00:00:00"/>
        <d v="2024-01-02T00:00:00"/>
        <d v="2024-01-03T00:00:00"/>
        <d v="2024-01-04T00:00:00"/>
        <d v="2024-01-05T00:00:00"/>
        <d v="2024-01-06T00:00:00"/>
        <d v="2024-01-07T00:00:00"/>
        <d v="2024-01-08T00:00:00"/>
        <d v="2024-01-09T00:00:00"/>
        <d v="2024-01-10T00:00:00"/>
        <d v="2024-01-11T00:00:00"/>
        <d v="2024-01-12T00:00:00"/>
        <d v="2024-01-13T00:00:00"/>
        <d v="2024-01-14T00:00:00"/>
        <d v="2024-01-15T00:00:00"/>
        <d v="2024-01-16T00:00:00"/>
        <d v="2024-01-17T00:00:00"/>
        <d v="2024-01-18T00:00:00"/>
        <d v="2024-01-19T00:00:00"/>
        <d v="2024-01-20T00:00:00"/>
        <d v="2024-01-21T00:00:00"/>
        <d v="2024-01-22T00:00:00"/>
        <d v="2024-01-23T00:00:00"/>
        <d v="2024-01-24T00:00:00"/>
        <d v="2024-01-25T00:00:00"/>
        <d v="2024-01-26T00:00:00"/>
        <d v="2024-01-27T00:00:00"/>
        <d v="2024-01-28T00:00:00"/>
        <d v="2024-01-29T00:00:00"/>
        <d v="2024-01-30T00:00:00"/>
        <d v="2024-01-31T00:00:00"/>
      </sharedItems>
    </cacheField>
    <cacheField name="[Calendar_table].[Date (Quarter)].[Date (Quarter)]" caption="Date (Quarter)" numFmtId="0" hierarchy="4" level="1">
      <sharedItems count="1">
        <s v="Qtr1"/>
      </sharedItems>
    </cacheField>
    <cacheField name="[Calendar_table].[Date (Year)].[Date (Year)]" caption="Date (Year)" numFmtId="0" hierarchy="3" level="1">
      <sharedItems count="1">
        <s v="2024"/>
      </sharedItems>
    </cacheField>
  </cacheFields>
  <cacheHierarchies count="35">
    <cacheHierarchy uniqueName="[Calendar_table].[Date]" caption="Date" attribute="1" time="1" defaultMemberUniqueName="[Calendar_table].[Date].[All]" allUniqueName="[Calendar_table].[Date].[All]" dimensionUniqueName="[Calendar_table]" displayFolder="" count="2" memberValueDatatype="7" unbalanced="0">
      <fieldsUsage count="2">
        <fieldUsage x="-1"/>
        <fieldUsage x="1"/>
      </fieldsUsage>
    </cacheHierarchy>
    <cacheHierarchy uniqueName="[Calendar_table].[Date (Month)]" caption="Date (Month)" attribute="1" defaultMemberUniqueName="[Calendar_table].[Date (Month)].[All]" allUniqueName="[Calendar_table].[Date (Month)].[All]" dimensionUniqueName="[Calendar_table]" displayFolder="" count="2" memberValueDatatype="130" unbalanced="0">
      <fieldsUsage count="2">
        <fieldUsage x="-1"/>
        <fieldUsage x="0"/>
      </fieldsUsage>
    </cacheHierarchy>
    <cacheHierarchy uniqueName="[Calendar_table].[Date (Day)]" caption="Date (Day)" attribute="1" defaultMemberUniqueName="[Calendar_table].[Date (Day)].[All]" allUniqueName="[Calendar_table].[Date (Day)].[All]" dimensionUniqueName="[Calendar_table]" displayFolder="" count="0" memberValueDatatype="130" unbalanced="0"/>
    <cacheHierarchy uniqueName="[Calendar_table].[Date (Year)]" caption="Date (Year)" attribute="1" defaultMemberUniqueName="[Calendar_table].[Date (Year)].[All]" allUniqueName="[Calendar_table].[Date (Year)].[All]" dimensionUniqueName="[Calendar_table]" displayFolder="" count="2" memberValueDatatype="130" unbalanced="0">
      <fieldsUsage count="2">
        <fieldUsage x="-1"/>
        <fieldUsage x="3"/>
      </fieldsUsage>
    </cacheHierarchy>
    <cacheHierarchy uniqueName="[Calendar_table].[Date (Quarter)]" caption="Date (Quarter)" attribute="1" defaultMemberUniqueName="[Calendar_table].[Date (Quarter)].[All]" allUniqueName="[Calendar_table].[Date (Quarter)].[All]" dimensionUniqueName="[Calendar_table]" displayFolder="" count="2" memberValueDatatype="130" unbalanced="0">
      <fieldsUsage count="2">
        <fieldUsage x="-1"/>
        <fieldUsage x="2"/>
      </fieldsUsage>
    </cacheHierarchy>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Merged]" caption="Merged" attribute="1" defaultMemberUniqueName="[Hospital Emergency Room Data].[Merged].[All]" allUniqueName="[Hospital Emergency Room Data].[Merged].[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Group]" caption="Age-Group" attribute="1" defaultMemberUniqueName="[Hospital Emergency Room Data].[Age-Group].[All]" allUniqueName="[Hospital Emergency Room Data].[Age-Group].[All]" dimensionUniqueName="[Hospital Emergency Room Data]" displayFolder="" count="0" memberValueDatatype="130" unbalanced="0"/>
    <cacheHierarchy uniqueName="[Hospital Emergency Room Data].[Patient Attend Status]" caption="Patient Attend Status" attribute="1" defaultMemberUniqueName="[Hospital Emergency Room Data].[Patient Attend Status].[All]" allUniqueName="[Hospital Emergency Room Data].[Patient Attend Status].[All]" dimensionUniqueName="[Hospital Emergency Room Data]" displayFolder="" count="0" memberValueDatatype="130" unbalanced="0"/>
    <cacheHierarchy uniqueName="[Calendar_table].[Date (Day Index)]" caption="Date (Day Index)" attribute="1" defaultMemberUniqueName="[Calendar_table].[Date (Day Index)].[All]" allUniqueName="[Calendar_table].[Date (Day Index)].[All]" dimensionUniqueName="[Calendar_table]" displayFolder="" count="0" memberValueDatatype="5" unbalanced="0" hidden="1"/>
    <cacheHierarchy uniqueName="[Calendar_table].[Date (Month Index)]" caption="Date (Month Index)" attribute="1" defaultMemberUniqueName="[Calendar_table].[Date (Month Index)].[All]" allUniqueName="[Calendar_table].[Date (Month Index)].[All]" dimensionUniqueName="[Calendar_table]"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ar_table]" caption="__XL_Count Calendar_table" measure="1" displayFolder="" measureGroup="Calendar_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Distinct Count of Patient Admission Flag]" caption="Distinct Count of Patient Admission Flag"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Count of Age-Group]" caption="Count of Age-Group"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Count of Patient Attend Status]" caption="Count of Patient Attend Status" measure="1" displayFolder="" measureGroup="Hospital Emergency Room Data" count="0" hidden="1">
      <extLst>
        <ext xmlns:x15="http://schemas.microsoft.com/office/spreadsheetml/2010/11/main" uri="{B97F6D7D-B522-45F9-BDA1-12C45D357490}">
          <x15:cacheHierarchy aggregatedColumn="17"/>
        </ext>
      </extLst>
    </cacheHierarchy>
    <cacheHierarchy uniqueName="[Measures].[Count of Patient Gender]" caption="Count of Patient Gender" measure="1" displayFolder="" measureGroup="Hospital Emergency Room Data" count="0" hidden="1">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12"/>
        </ext>
      </extLst>
    </cacheHierarchy>
  </cacheHierarchies>
  <kpis count="0"/>
  <dimensions count="3">
    <dimension name="Calendar_table" uniqueName="[Calendar_table]" caption="Calendar_table"/>
    <dimension name="Hospital Emergency Room Data" uniqueName="[Hospital Emergency Room Data]" caption="Hospital Emergency Room Data"/>
    <dimension measure="1" name="Measures" uniqueName="[Measures]" caption="Measures"/>
  </dimensions>
  <measureGroups count="2">
    <measureGroup name="Calendar_table" caption="Calendar_tabl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urag devadiga" refreshedDate="46035.808153935184" backgroundQuery="1" createdVersion="3" refreshedVersion="8" minRefreshableVersion="3" recordCount="0" supportSubquery="1" supportAdvancedDrill="1" xr:uid="{E7DD5BA3-37FC-40E4-B23B-E2BDA7B93D98}">
  <cacheSource type="external" connectionId="3">
    <extLst>
      <ext xmlns:x14="http://schemas.microsoft.com/office/spreadsheetml/2009/9/main" uri="{F057638F-6D5F-4e77-A914-E7F072B9BCA8}">
        <x14:sourceConnection name="ThisWorkbookDataModel"/>
      </ext>
    </extLst>
  </cacheSource>
  <cacheFields count="0"/>
  <cacheHierarchies count="35">
    <cacheHierarchy uniqueName="[Calendar_table].[Date]" caption="Date" attribute="1" time="1" defaultMemberUniqueName="[Calendar_table].[Date].[All]" allUniqueName="[Calendar_table].[Date].[All]" dimensionUniqueName="[Calendar_table]" displayFolder="" count="0" memberValueDatatype="7" unbalanced="0"/>
    <cacheHierarchy uniqueName="[Calendar_table].[Date (Month)]" caption="Date (Month)" attribute="1" defaultMemberUniqueName="[Calendar_table].[Date (Month)].[All]" allUniqueName="[Calendar_table].[Date (Month)].[All]" dimensionUniqueName="[Calendar_table]" displayFolder="" count="2" memberValueDatatype="130" unbalanced="0"/>
    <cacheHierarchy uniqueName="[Calendar_table].[Date (Day)]" caption="Date (Day)" attribute="1" defaultMemberUniqueName="[Calendar_table].[Date (Day)].[All]" allUniqueName="[Calendar_table].[Date (Day)].[All]" dimensionUniqueName="[Calendar_table]" displayFolder="" count="0" memberValueDatatype="130" unbalanced="0"/>
    <cacheHierarchy uniqueName="[Calendar_table].[Date (Year)]" caption="Date (Year)" attribute="1" defaultMemberUniqueName="[Calendar_table].[Date (Year)].[All]" allUniqueName="[Calendar_table].[Date (Year)].[All]" dimensionUniqueName="[Calendar_table]" displayFolder="" count="2" memberValueDatatype="130" unbalanced="0"/>
    <cacheHierarchy uniqueName="[Calendar_table].[Date (Quarter)]" caption="Date (Quarter)" attribute="1" defaultMemberUniqueName="[Calendar_table].[Date (Quarter)].[All]" allUniqueName="[Calendar_table].[Date (Quarter)].[All]" dimensionUniqueName="[Calendar_table]"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Merged]" caption="Merged" attribute="1" defaultMemberUniqueName="[Hospital Emergency Room Data].[Merged].[All]" allUniqueName="[Hospital Emergency Room Data].[Merged].[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Group]" caption="Age-Group" attribute="1" defaultMemberUniqueName="[Hospital Emergency Room Data].[Age-Group].[All]" allUniqueName="[Hospital Emergency Room Data].[Age-Group].[All]" dimensionUniqueName="[Hospital Emergency Room Data]" displayFolder="" count="0" memberValueDatatype="130" unbalanced="0"/>
    <cacheHierarchy uniqueName="[Hospital Emergency Room Data].[Patient Attend Status]" caption="Patient Attend Status" attribute="1" defaultMemberUniqueName="[Hospital Emergency Room Data].[Patient Attend Status].[All]" allUniqueName="[Hospital Emergency Room Data].[Patient Attend Status].[All]" dimensionUniqueName="[Hospital Emergency Room Data]" displayFolder="" count="0" memberValueDatatype="130" unbalanced="0"/>
    <cacheHierarchy uniqueName="[Calendar_table].[Date (Day Index)]" caption="Date (Day Index)" attribute="1" defaultMemberUniqueName="[Calendar_table].[Date (Day Index)].[All]" allUniqueName="[Calendar_table].[Date (Day Index)].[All]" dimensionUniqueName="[Calendar_table]" displayFolder="" count="0" memberValueDatatype="5" unbalanced="0" hidden="1"/>
    <cacheHierarchy uniqueName="[Calendar_table].[Date (Month Index)]" caption="Date (Month Index)" attribute="1" defaultMemberUniqueName="[Calendar_table].[Date (Month Index)].[All]" allUniqueName="[Calendar_table].[Date (Month Index)].[All]" dimensionUniqueName="[Calendar_table]"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ar_table]" caption="__XL_Count Calendar_table" measure="1" displayFolder="" measureGroup="Calendar_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Distinct Count of Patient Admission Flag]" caption="Distinct Count of Patient Admission Flag"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Count of Age-Group]" caption="Count of Age-Group"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Count of Patient Attend Status]" caption="Count of Patient Attend Status" measure="1" displayFolder="" measureGroup="Hospital Emergency Room Data" count="0" hidden="1">
      <extLst>
        <ext xmlns:x15="http://schemas.microsoft.com/office/spreadsheetml/2010/11/main" uri="{B97F6D7D-B522-45F9-BDA1-12C45D357490}">
          <x15:cacheHierarchy aggregatedColumn="17"/>
        </ext>
      </extLst>
    </cacheHierarchy>
    <cacheHierarchy uniqueName="[Measures].[Count of Patient Gender]" caption="Count of Patient Gender" measure="1" displayFolder="" measureGroup="Hospital Emergency Room Data" count="0" hidden="1">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12"/>
        </ext>
      </extLst>
    </cacheHierarchy>
  </cacheHierarchies>
  <kpis count="0"/>
  <extLst>
    <ext xmlns:x14="http://schemas.microsoft.com/office/spreadsheetml/2009/9/main" uri="{725AE2AE-9491-48be-B2B4-4EB974FC3084}">
      <x14:pivotCacheDefinition slicerData="1" pivotCacheId="2069438657" supportSubqueryNonVisual="1" supportSubqueryCalcMem="1" supportAddCalcMems="1"/>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0.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7.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9.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12.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8.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3B4592E8-65D6-4553-9401-7F9A1779A0CD}" name="PivotTable11" cacheId="432" applyNumberFormats="0" applyBorderFormats="0" applyFontFormats="0" applyPatternFormats="0" applyAlignmentFormats="0" applyWidthHeightFormats="1" dataCaption="Values" tag="62fc4e93-da03-4426-a030-32190af46982" updatedVersion="8" minRefreshableVersion="3" subtotalHiddenItems="1" itemPrintTitles="1" createdVersion="8" indent="0" outline="1" outlineData="1" multipleFieldFilters="0" chartFormat="30">
  <location ref="O78:P87" firstHeaderRow="1" firstDataRow="1" firstDataCol="1"/>
  <pivotFields count="4">
    <pivotField allDrilled="1" subtotalTop="0" showAll="0" dataSourceSort="1" defaultSubtotal="0" defaultAttributeDrillState="1"/>
    <pivotField axis="axisRow" allDrilled="1" subtotalTop="0" showAll="0" sortType="descending" defaultSubtotal="0" defaultAttributeDrillState="1">
      <items count="8">
        <item x="0"/>
        <item x="1"/>
        <item x="2"/>
        <item x="3"/>
        <item x="4"/>
        <item x="5"/>
        <item x="6"/>
        <item x="7"/>
      </items>
      <autoSortScope>
        <pivotArea dataOnly="0" outline="0" fieldPosition="0">
          <references count="1">
            <reference field="4294967294" count="1" selected="0">
              <x v="0"/>
            </reference>
          </references>
        </pivotArea>
      </autoSortScope>
    </pivotField>
    <pivotField dataField="1" subtotalTop="0" showAll="0" defaultSubtotal="0"/>
    <pivotField allDrilled="1" subtotalTop="0" showAll="0" dataSourceSort="1" defaultSubtotal="0" defaultAttributeDrillState="1"/>
  </pivotFields>
  <rowFields count="1">
    <field x="1"/>
  </rowFields>
  <rowItems count="9">
    <i>
      <x v="4"/>
    </i>
    <i>
      <x v="2"/>
    </i>
    <i>
      <x v="5"/>
    </i>
    <i>
      <x v="6"/>
    </i>
    <i>
      <x/>
    </i>
    <i>
      <x v="3"/>
    </i>
    <i>
      <x v="7"/>
    </i>
    <i>
      <x v="1"/>
    </i>
    <i t="grand">
      <x/>
    </i>
  </rowItems>
  <colItems count="1">
    <i/>
  </colItems>
  <dataFields count="1">
    <dataField name="Count of Department Referral" fld="2" subtotal="count" baseField="0" baseItem="0"/>
  </dataFields>
  <formats count="1">
    <format dxfId="153">
      <pivotArea outline="0" collapsedLevelsAreSubtotals="1" fieldPosition="0"/>
    </format>
  </formats>
  <chartFormats count="1">
    <chartFormat chart="29" format="2" series="1">
      <pivotArea type="data" outline="0" fieldPosition="0">
        <references count="1">
          <reference field="4294967294" count="1" selected="0">
            <x v="0"/>
          </reference>
        </references>
      </pivotArea>
    </chartFormat>
  </chartFormats>
  <pivotHierarchies count="35">
    <pivotHierarchy dragToData="1"/>
    <pivotHierarchy multipleItemSelectionAllowed="1" dragToData="1">
      <members count="1" level="1">
        <member name="[Calendar_table].[Date (Month)].&amp;[Jan]"/>
      </members>
    </pivotHierarchy>
    <pivotHierarchy dragToData="1"/>
    <pivotHierarchy multipleItemSelectionAllowed="1" dragToData="1">
      <members count="1" level="1">
        <member name="[Calendar_table].[Date (Year)].&amp;[2024]"/>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
    <pivotHierarchy dragToData="1"/>
    <pivotHierarchy dragToData="1" caption="Average of Patient Waittime"/>
    <pivotHierarchy dragToData="1"/>
    <pivotHierarchy dragToData="1" caption="Average of Patient Satisfaction Score"/>
    <pivotHierarchy dragToData="1" caption="Count of Patient Admission Flag2"/>
    <pivotHierarchy dragToData="1" caption="Distinct Count of Patient Admission Flag"/>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activeTabTopLevelEntity name="[Calendar_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53D85E1C-AB36-48F7-A1E3-07300C312F37}" name="PivotTable10" cacheId="429" applyNumberFormats="0" applyBorderFormats="0" applyFontFormats="0" applyPatternFormats="0" applyAlignmentFormats="0" applyWidthHeightFormats="1" dataCaption="Values" tag="62fc4e93-da03-4426-a030-32190af46982" updatedVersion="8" minRefreshableVersion="3" subtotalHiddenItems="1" itemPrintTitles="1" createdVersion="8" indent="0" outline="1" outlineData="1" multipleFieldFilters="0" chartFormat="26">
  <location ref="K78:L81" firstHeaderRow="1" firstDataRow="1" firstDataCol="1"/>
  <pivotFields count="4">
    <pivotField allDrilled="1" subtotalTop="0" showAll="0" dataSourceSort="1" defaultSubtotal="0" defaultAttributeDrillState="1"/>
    <pivotField axis="axisRow" allDrilled="1" subtotalTop="0" showAll="0" dataSourceSort="1" defaultSubtotal="0" defaultAttributeDrillState="1">
      <items count="2">
        <item x="0"/>
        <item x="1"/>
      </items>
    </pivotField>
    <pivotField dataField="1" subtotalTop="0" showAll="0" defaultSubtotal="0"/>
    <pivotField allDrilled="1" subtotalTop="0" showAll="0" dataSourceSort="1" defaultSubtotal="0" defaultAttributeDrillState="1"/>
  </pivotFields>
  <rowFields count="1">
    <field x="1"/>
  </rowFields>
  <rowItems count="3">
    <i>
      <x/>
    </i>
    <i>
      <x v="1"/>
    </i>
    <i t="grand">
      <x/>
    </i>
  </rowItems>
  <colItems count="1">
    <i/>
  </colItems>
  <dataFields count="1">
    <dataField name="Count of Patient Gender" fld="2" subtotal="count" baseField="0" baseItem="0"/>
  </dataFields>
  <formats count="1">
    <format dxfId="154">
      <pivotArea outline="0" collapsedLevelsAreSubtotals="1" fieldPosition="0"/>
    </format>
  </formats>
  <chartFormats count="3">
    <chartFormat chart="22" format="6" series="1">
      <pivotArea type="data" outline="0" fieldPosition="0">
        <references count="1">
          <reference field="4294967294" count="1" selected="0">
            <x v="0"/>
          </reference>
        </references>
      </pivotArea>
    </chartFormat>
    <chartFormat chart="22" format="7">
      <pivotArea type="data" outline="0" fieldPosition="0">
        <references count="2">
          <reference field="4294967294" count="1" selected="0">
            <x v="0"/>
          </reference>
          <reference field="1" count="1" selected="0">
            <x v="0"/>
          </reference>
        </references>
      </pivotArea>
    </chartFormat>
    <chartFormat chart="22" format="8">
      <pivotArea type="data" outline="0" fieldPosition="0">
        <references count="2">
          <reference field="4294967294" count="1" selected="0">
            <x v="0"/>
          </reference>
          <reference field="1" count="1" selected="0">
            <x v="1"/>
          </reference>
        </references>
      </pivotArea>
    </chartFormat>
  </chartFormats>
  <pivotHierarchies count="35">
    <pivotHierarchy dragToData="1"/>
    <pivotHierarchy multipleItemSelectionAllowed="1" dragToData="1">
      <members count="1" level="1">
        <member name="[Calendar_table].[Date (Month)].&amp;[Jan]"/>
      </members>
    </pivotHierarchy>
    <pivotHierarchy dragToData="1"/>
    <pivotHierarchy multipleItemSelectionAllowed="1" dragToData="1">
      <members count="1" level="1">
        <member name="[Calendar_table].[Date (Year)].&amp;[2024]"/>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
    <pivotHierarchy dragToData="1"/>
    <pivotHierarchy dragToData="1" caption="Average of Patient Waittime"/>
    <pivotHierarchy dragToData="1"/>
    <pivotHierarchy dragToData="1" caption="Average of Patient Satisfaction Score"/>
    <pivotHierarchy dragToData="1" caption="Count of Patient Admission Flag2"/>
    <pivotHierarchy dragToData="1" caption="Distinct Count of Patient Admission Flag"/>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9"/>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activeTabTopLevelEntity name="[Calendar_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AF18172B-8FF3-49A2-B8D8-A31CD7878125}" name="PivotTable7" cacheId="420" applyNumberFormats="0" applyBorderFormats="0" applyFontFormats="0" applyPatternFormats="0" applyAlignmentFormats="0" applyWidthHeightFormats="1" dataCaption="Values" tag="62fc4e93-da03-4426-a030-32190af46982" updatedVersion="8" minRefreshableVersion="3" subtotalHiddenItems="1" itemPrintTitles="1" createdVersion="8" indent="0" outline="1" outlineData="1" multipleFieldFilters="0" chartFormat="2">
  <location ref="B50:D53" firstHeaderRow="0" firstDataRow="1" firstDataCol="1"/>
  <pivotFields count="5">
    <pivotField allDrilled="1" subtotalTop="0" showAll="0" dataSourceSort="1" defaultSubtotal="0" defaultAttributeDrillState="1"/>
    <pivotField axis="axisRow" allDrilled="1" subtotalTop="0" showAll="0" dataSourceSort="1" defaultSubtotal="0" defaultAttributeDrillState="1">
      <items count="2">
        <item x="0"/>
        <item x="1"/>
      </items>
    </pivotField>
    <pivotField dataField="1" subtotalTop="0" showAll="0" defaultSubtotal="0"/>
    <pivotField allDrilled="1" subtotalTop="0" showAll="0" dataSourceSort="1" defaultSubtotal="0" defaultAttributeDrillState="1"/>
    <pivotField dataField="1" compact="0" outline="0" subtotalTop="0" dragToRow="0" dragToCol="0" dragToPage="0" dragToData="0" dragOff="0" showAll="0" topAutoShow="0" includeNewItemsInFilter="1" itemPageCount="0" rankBy="0" defaultSubtotal="0">
      <extLst>
        <ext xmlns:x14="http://schemas.microsoft.com/office/spreadsheetml/2009/9/main" uri="{2946ED86-A175-432a-8AC1-64E0C546D7DE}">
          <x14:pivotField ignore="1"/>
        </ext>
      </extLst>
    </pivotField>
  </pivotFields>
  <rowFields count="1">
    <field x="1"/>
  </rowFields>
  <rowItems count="3">
    <i>
      <x/>
    </i>
    <i>
      <x v="1"/>
    </i>
    <i t="grand">
      <x/>
    </i>
  </rowItems>
  <colFields count="1">
    <field x="-2"/>
  </colFields>
  <colItems count="2">
    <i>
      <x/>
    </i>
    <i i="1">
      <x v="1"/>
    </i>
  </colItems>
  <dataFields count="2">
    <dataField name="Count of Patient Admission Flag" fld="2" subtotal="count" baseField="0" baseItem="0"/>
    <dataField name="Count of Patient Admission Flag2" fld="4" subtotal="count" showDataAs="percentOfTotal" baseField="0" baseItem="0" numFmtId="10">
      <extLst>
        <ext xmlns:x14="http://schemas.microsoft.com/office/spreadsheetml/2009/9/main" uri="{E15A36E0-9728-4e99-A89B-3F7291B0FE68}">
          <x14:dataField sourceField="2" uniqueName="[__Xl2].[Measures].[Count of Patient Admission Flag]"/>
        </ext>
      </extLst>
    </dataField>
  </dataFields>
  <formats count="2">
    <format dxfId="156">
      <pivotArea outline="0" collapsedLevelsAreSubtotals="1" fieldPosition="0"/>
    </format>
    <format dxfId="155">
      <pivotArea outline="0" fieldPosition="0">
        <references count="1">
          <reference field="4294967294" count="1">
            <x v="1"/>
          </reference>
        </references>
      </pivotArea>
    </format>
  </formats>
  <chartFormats count="4">
    <chartFormat chart="0" format="0" series="1">
      <pivotArea type="data" outline="0" fieldPosition="0">
        <references count="1">
          <reference field="4294967294" count="1" selected="0">
            <x v="1"/>
          </reference>
        </references>
      </pivotArea>
    </chartFormat>
    <chartFormat chart="0" format="1" series="1">
      <pivotArea type="data" outline="0" fieldPosition="0">
        <references count="1">
          <reference field="4294967294" count="1" selected="0">
            <x v="0"/>
          </reference>
        </references>
      </pivotArea>
    </chartFormat>
    <chartFormat chart="0" format="2">
      <pivotArea type="data" outline="0" fieldPosition="0">
        <references count="2">
          <reference field="4294967294" count="1" selected="0">
            <x v="1"/>
          </reference>
          <reference field="1" count="1" selected="0">
            <x v="1"/>
          </reference>
        </references>
      </pivotArea>
    </chartFormat>
    <chartFormat chart="0" format="3">
      <pivotArea type="data" outline="0" fieldPosition="0">
        <references count="2">
          <reference field="4294967294" count="1" selected="0">
            <x v="1"/>
          </reference>
          <reference field="1" count="1" selected="0">
            <x v="0"/>
          </reference>
        </references>
      </pivotArea>
    </chartFormat>
  </chartFormats>
  <pivotHierarchies count="36">
    <pivotHierarchy dragToData="1"/>
    <pivotHierarchy multipleItemSelectionAllowed="1" dragToData="1">
      <members count="1" level="1">
        <member name="[Calendar_table].[Date (Month)].&amp;[Jan]"/>
      </members>
    </pivotHierarchy>
    <pivotHierarchy dragToData="1"/>
    <pivotHierarchy multipleItemSelectionAllowed="1" dragToData="1">
      <members count="1" level="1">
        <member name="[Calendar_table].[Date (Year)].&amp;[2024]"/>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
    <pivotHierarchy dragToData="1"/>
    <pivotHierarchy dragToData="1" caption="Average of Patient Waittime"/>
    <pivotHierarchy dragToData="1"/>
    <pivotHierarchy dragToData="1" caption="Average of Patient Satisfaction Score"/>
    <pivotHierarchy dragToData="1" caption="Count of Patient Admission Flag2"/>
    <pivotHierarchy dragToData="1" caption="Distinct Count of Patient Admission Flag"/>
    <pivotHierarchy dragToData="1"/>
    <pivotHierarchy dragToData="1"/>
    <pivotHierarchy dragToData="1"/>
    <pivotHierarchy dragToData="1"/>
    <pivotHierarchy dragToRow="0" dragToCol="0" dragToPage="0" dragToData="1" dragOff="0" includeNewItemsInFilter="1">
      <extLst>
        <ext xmlns:x14="http://schemas.microsoft.com/office/spreadsheetml/2009/9/main" uri="{F1805F06-0CD3-4483-9156-8803C3D141DF}">
          <x14:pivotHierarchy ignore="1"/>
        </ext>
      </extLst>
    </pivotHierarchy>
  </pivotHierarchies>
  <pivotTableStyleInfo name="PivotStyleLight16" showRowHeaders="1" showColHeaders="1" showRowStripes="0" showColStripes="0" showLastColumn="1"/>
  <rowHierarchiesUsage count="1">
    <rowHierarchyUsage hierarchyUsage="13"/>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activeTabTopLevelEntity name="[Calendar_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4C4030A6-4E49-4D11-888A-2F6C81169B90}" name="PivotTable6" cacheId="417" applyNumberFormats="0" applyBorderFormats="0" applyFontFormats="0" applyPatternFormats="0" applyAlignmentFormats="0" applyWidthHeightFormats="1" dataCaption="Values" tag="e44865aa-9352-4650-bd62-3eeba5f71576" updatedVersion="8" minRefreshableVersion="3" subtotalHiddenItems="1" itemPrintTitles="1" createdVersion="8" indent="0" outline="1" outlineData="1" multipleFieldFilters="0" chartFormat="30">
  <location ref="K6:L38" firstHeaderRow="1" firstDataRow="1" firstDataCol="1"/>
  <pivotFields count="4">
    <pivotField axis="axisRow" allDrilled="1" subtotalTop="0" showAll="0" dataSourceSort="1" defaultSubtotal="0" defaultAttributeDrillState="1">
      <items count="31">
        <item x="0"/>
        <item x="1"/>
        <item x="2"/>
        <item x="3"/>
        <item x="4"/>
        <item x="5"/>
        <item x="6"/>
        <item x="7"/>
        <item x="8"/>
        <item x="9"/>
        <item x="10"/>
        <item x="11"/>
        <item x="12"/>
        <item x="13"/>
        <item x="14"/>
        <item x="15"/>
        <item x="16"/>
        <item x="17"/>
        <item x="18"/>
        <item x="19"/>
        <item x="20"/>
        <item x="21"/>
        <item x="22"/>
        <item x="23"/>
        <item x="24"/>
        <item x="25"/>
        <item x="26"/>
        <item x="27"/>
        <item x="28"/>
        <item x="29"/>
        <item x="30"/>
      </items>
    </pivotField>
    <pivotField allDrilled="1" subtotalTop="0" showAll="0" dataSourceSort="1" defaultSubtotal="0" defaultAttributeDrillState="1"/>
    <pivotField dataField="1" subtotalTop="0" showAll="0" defaultSubtotal="0"/>
    <pivotField allDrilled="1" subtotalTop="0" showAll="0" dataSourceSort="1" defaultSubtotal="0" defaultAttributeDrillState="1"/>
  </pivotFields>
  <rowFields count="1">
    <field x="0"/>
  </rowFields>
  <rowItems count="32">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t="grand">
      <x/>
    </i>
  </rowItems>
  <colItems count="1">
    <i/>
  </colItems>
  <dataFields count="1">
    <dataField name="Average of Patient Satisfaction Score" fld="2" subtotal="average" baseField="0" baseItem="0"/>
  </dataFields>
  <formats count="2">
    <format dxfId="158">
      <pivotArea collapsedLevelsAreSubtotals="1" fieldPosition="0">
        <references count="1">
          <reference field="0" count="0"/>
        </references>
      </pivotArea>
    </format>
    <format dxfId="157">
      <pivotArea grandRow="1" outline="0" collapsedLevelsAreSubtotals="1" fieldPosition="0"/>
    </format>
  </formats>
  <chartFormats count="2">
    <chartFormat chart="25" format="2" series="1">
      <pivotArea type="data" outline="0" fieldPosition="0">
        <references count="1">
          <reference field="4294967294" count="1" selected="0">
            <x v="0"/>
          </reference>
        </references>
      </pivotArea>
    </chartFormat>
    <chartFormat chart="28" format="4" series="1">
      <pivotArea type="data" outline="0" fieldPosition="0">
        <references count="1">
          <reference field="4294967294" count="1" selected="0">
            <x v="0"/>
          </reference>
        </references>
      </pivotArea>
    </chartFormat>
  </chartFormats>
  <pivotHierarchies count="35">
    <pivotHierarchy dragToData="1"/>
    <pivotHierarchy multipleItemSelectionAllowed="1" dragToData="1">
      <members count="1" level="1">
        <member name="[Calendar_table].[Date (Month)].&amp;[Jan]"/>
      </members>
    </pivotHierarchy>
    <pivotHierarchy dragToData="1"/>
    <pivotHierarchy multipleItemSelectionAllowed="1" dragToData="1">
      <members count="1" level="1">
        <member name="[Calendar_table].[Date (Year)].&amp;[2024]"/>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
    <pivotHierarchy dragToData="1"/>
    <pivotHierarchy dragToData="1" caption="Average of Patient Waittime"/>
    <pivotHierarchy dragToData="1"/>
    <pivotHierarchy dragToData="1" caption="Average of Patient Satisfaction Score"/>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activeTabTopLevelEntity name="[Calendar_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8E987295-35E6-4E1D-8F63-917D4E369AF9}" name="PivotTable3" cacheId="411" applyNumberFormats="0" applyBorderFormats="0" applyFontFormats="0" applyPatternFormats="0" applyAlignmentFormats="0" applyWidthHeightFormats="1" dataCaption="Values" tag="6f9a055e-80e1-42ca-8810-89dd816eeca7" updatedVersion="8" minRefreshableVersion="3" subtotalHiddenItems="1" itemPrintTitles="1" createdVersion="8" indent="0" outline="1" outlineData="1" multipleFieldFilters="0">
  <location ref="B16:B17" firstHeaderRow="1" firstDataRow="1" firstDataCol="0"/>
  <pivotFields count="3">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s>
  <rowItems count="1">
    <i/>
  </rowItems>
  <colItems count="1">
    <i/>
  </colItems>
  <dataFields count="1">
    <dataField name="Average of Patient Satisfaction Score" fld="0" subtotal="average" baseField="0" baseItem="0"/>
  </dataFields>
  <formats count="1">
    <format dxfId="159">
      <pivotArea outline="0" collapsedLevelsAreSubtotals="1" fieldPosition="0"/>
    </format>
  </formats>
  <pivotHierarchies count="35">
    <pivotHierarchy dragToData="1"/>
    <pivotHierarchy multipleItemSelectionAllowed="1" dragToData="1">
      <members count="1" level="1">
        <member name="[Calendar_table].[Date (Month)].&amp;[Jan]"/>
      </members>
    </pivotHierarchy>
    <pivotHierarchy dragToData="1"/>
    <pivotHierarchy multipleItemSelectionAllowed="1" dragToData="1">
      <members count="1" level="1">
        <member name="[Calendar_table].[Date (Year)].&amp;[2024]"/>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
    <pivotHierarchy dragToData="1"/>
    <pivotHierarchy dragToData="1" caption="Average of Patient Waittime"/>
    <pivotHierarchy dragToData="1"/>
    <pivotHierarchy dragToData="1" caption="Average of Patient Satisfaction Score"/>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084304AC-1AE6-4044-82EA-9929B888567D}" name="PivotTable4" cacheId="402" applyNumberFormats="0" applyBorderFormats="0" applyFontFormats="0" applyPatternFormats="0" applyAlignmentFormats="0" applyWidthHeightFormats="1" dataCaption="Values" tag="40d5e27f-2065-4b2d-b8a3-218f843b17bc" updatedVersion="8" minRefreshableVersion="3" subtotalHiddenItems="1" itemPrintTitles="1" createdVersion="8" indent="0" outline="1" outlineData="1" multipleFieldFilters="0" chartFormat="12">
  <location ref="C5:D37" firstHeaderRow="1" firstDataRow="1" firstDataCol="1"/>
  <pivotFields count="4">
    <pivotField dataField="1" subtotalTop="0" showAll="0" defaultSubtotal="0"/>
    <pivotField axis="axisRow" allDrilled="1" subtotalTop="0" showAll="0" dataSourceSort="1" defaultSubtotal="0" defaultAttributeDrillState="1">
      <items count="31">
        <item x="0"/>
        <item x="1"/>
        <item x="2"/>
        <item x="3"/>
        <item x="4"/>
        <item x="5"/>
        <item x="6"/>
        <item x="7"/>
        <item x="8"/>
        <item x="9"/>
        <item x="10"/>
        <item x="11"/>
        <item x="12"/>
        <item x="13"/>
        <item x="14"/>
        <item x="15"/>
        <item x="16"/>
        <item x="17"/>
        <item x="18"/>
        <item x="19"/>
        <item x="20"/>
        <item x="21"/>
        <item x="22"/>
        <item x="23"/>
        <item x="24"/>
        <item x="25"/>
        <item x="26"/>
        <item x="27"/>
        <item x="28"/>
        <item x="29"/>
        <item x="30"/>
      </items>
    </pivotField>
    <pivotField allDrilled="1" subtotalTop="0" showAll="0" dataSourceSort="1" defaultSubtotal="0" defaultAttributeDrillState="1"/>
    <pivotField allDrilled="1" subtotalTop="0" showAll="0" dataSourceSort="1" defaultSubtotal="0" defaultAttributeDrillState="1"/>
  </pivotFields>
  <rowFields count="1">
    <field x="1"/>
  </rowFields>
  <rowItems count="32">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t="grand">
      <x/>
    </i>
  </rowItems>
  <colItems count="1">
    <i/>
  </colItems>
  <dataFields count="1">
    <dataField name="Distinct Count of Patient Id" fld="0" subtotal="count" baseField="0" baseItem="0">
      <extLst>
        <ext xmlns:x15="http://schemas.microsoft.com/office/spreadsheetml/2010/11/main" uri="{FABC7310-3BB5-11E1-824E-6D434824019B}">
          <x15:dataField isCountDistinct="1"/>
        </ext>
      </extLst>
    </dataField>
  </dataFields>
  <chartFormats count="2">
    <chartFormat chart="5" format="4" series="1">
      <pivotArea type="data" outline="0" fieldPosition="0">
        <references count="1">
          <reference field="4294967294" count="1" selected="0">
            <x v="0"/>
          </reference>
        </references>
      </pivotArea>
    </chartFormat>
    <chartFormat chart="8" format="4" series="1">
      <pivotArea type="data" outline="0" fieldPosition="0">
        <references count="1">
          <reference field="4294967294" count="1" selected="0">
            <x v="0"/>
          </reference>
        </references>
      </pivotArea>
    </chartFormat>
  </chartFormats>
  <pivotHierarchies count="35">
    <pivotHierarchy dragToData="1"/>
    <pivotHierarchy multipleItemSelectionAllowed="1" dragToData="1">
      <members count="1" level="1">
        <member name="[Calendar_table].[Date (Month)].&amp;[Jan]"/>
      </members>
    </pivotHierarchy>
    <pivotHierarchy dragToData="1"/>
    <pivotHierarchy multipleItemSelectionAllowed="1" dragToData="1">
      <members count="1" level="1">
        <member name="[Calendar_table].[Date (Year)].&amp;[2024]"/>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activeTabTopLevelEntity name="[Calendar_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D2C61201-0BD5-4385-A690-0390646FDB2D}" name="PivotTable2" cacheId="408" applyNumberFormats="0" applyBorderFormats="0" applyFontFormats="0" applyPatternFormats="0" applyAlignmentFormats="0" applyWidthHeightFormats="1" dataCaption="Values" tag="eefe59b1-752d-4bf9-9d66-aec9471724a6" updatedVersion="8" minRefreshableVersion="3" subtotalHiddenItems="1" itemPrintTitles="1" createdVersion="8" indent="0" outline="1" outlineData="1" multipleFieldFilters="0">
  <location ref="B10:B11" firstHeaderRow="1" firstDataRow="1" firstDataCol="0"/>
  <pivotFields count="2">
    <pivotField dataField="1" subtotalTop="0" showAll="0" defaultSubtotal="0"/>
    <pivotField allDrilled="1" subtotalTop="0" showAll="0" dataSourceSort="1" defaultSubtotal="0" defaultAttributeDrillState="1"/>
  </pivotFields>
  <rowItems count="1">
    <i/>
  </rowItems>
  <colItems count="1">
    <i/>
  </colItems>
  <dataFields count="1">
    <dataField name="Average of Patient Waittime" fld="0" subtotal="average" baseField="0" baseItem="0" numFmtId="2"/>
  </dataFields>
  <formats count="1">
    <format dxfId="160">
      <pivotArea outline="0" collapsedLevelsAreSubtotals="1" fieldPosition="0"/>
    </format>
  </formats>
  <pivotHierarchies count="35">
    <pivotHierarchy dragToData="1"/>
    <pivotHierarchy multipleItemSelectionAllowed="1" dragToData="1">
      <members count="1" level="1">
        <member name="[Calendar_table].[Date (Month)].&amp;[Jan]"/>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
    <pivotHierarchy dragToData="1"/>
    <pivotHierarchy dragToData="1" caption="Average of Patient Waittime"/>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BC64D4E4-179E-4BDD-9CD0-30871013D374}" name="PivotTable1" cacheId="405" applyNumberFormats="0" applyBorderFormats="0" applyFontFormats="0" applyPatternFormats="0" applyAlignmentFormats="0" applyWidthHeightFormats="1" dataCaption="Values" tag="c822fd47-6d2b-4b69-8306-91d8be9722e0" updatedVersion="8" minRefreshableVersion="3" subtotalHiddenItems="1" itemPrintTitles="1" createdVersion="8" indent="0" outline="1" outlineData="1" multipleFieldFilters="0">
  <location ref="A5:A6" firstHeaderRow="1" firstDataRow="1" firstDataCol="0"/>
  <pivotFields count="3">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s>
  <rowItems count="1">
    <i/>
  </rowItems>
  <colItems count="1">
    <i/>
  </colItems>
  <dataFields count="1">
    <dataField name="Distinct Count of Patient Id" fld="0" subtotal="count" baseField="0" baseItem="0">
      <extLst>
        <ext xmlns:x15="http://schemas.microsoft.com/office/spreadsheetml/2010/11/main" uri="{FABC7310-3BB5-11E1-824E-6D434824019B}">
          <x15:dataField isCountDistinct="1"/>
        </ext>
      </extLst>
    </dataField>
  </dataFields>
  <pivotHierarchies count="35">
    <pivotHierarchy dragToData="1"/>
    <pivotHierarchy multipleItemSelectionAllowed="1" dragToData="1">
      <members count="1" level="1">
        <member name="[Calendar_table].[Date (Month)].&amp;[Jan]"/>
      </members>
    </pivotHierarchy>
    <pivotHierarchy dragToData="1"/>
    <pivotHierarchy multipleItemSelectionAllowed="1" dragToData="1">
      <members count="1" level="1">
        <member name="[Calendar_table].[Date (Year)].&amp;[2024]"/>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C67C2EDB-6410-4D28-83BE-25FF972320AD}" name="PivotTable9" cacheId="426" applyNumberFormats="0" applyBorderFormats="0" applyFontFormats="0" applyPatternFormats="0" applyAlignmentFormats="0" applyWidthHeightFormats="1" dataCaption="Values" tag="62fc4e93-da03-4426-a030-32190af46982" updatedVersion="8" minRefreshableVersion="3" subtotalHiddenItems="1" itemPrintTitles="1" createdVersion="8" indent="0" outline="1" outlineData="1" multipleFieldFilters="0" chartFormat="19">
  <location ref="K67:L70" firstHeaderRow="1" firstDataRow="1" firstDataCol="1"/>
  <pivotFields count="4">
    <pivotField allDrilled="1" subtotalTop="0" showAll="0" dataSourceSort="1" defaultSubtotal="0" defaultAttributeDrillState="1"/>
    <pivotField axis="axisRow" allDrilled="1" subtotalTop="0" showAll="0" dataSourceSort="1" defaultSubtotal="0" defaultAttributeDrillState="1">
      <items count="2">
        <item x="0"/>
        <item x="1"/>
      </items>
    </pivotField>
    <pivotField dataField="1" subtotalTop="0" showAll="0" defaultSubtotal="0"/>
    <pivotField allDrilled="1" subtotalTop="0" showAll="0" dataSourceSort="1" defaultSubtotal="0" defaultAttributeDrillState="1"/>
  </pivotFields>
  <rowFields count="1">
    <field x="1"/>
  </rowFields>
  <rowItems count="3">
    <i>
      <x/>
    </i>
    <i>
      <x v="1"/>
    </i>
    <i t="grand">
      <x/>
    </i>
  </rowItems>
  <colItems count="1">
    <i/>
  </colItems>
  <dataFields count="1">
    <dataField name="Count of Patient Attend Status" fld="2" subtotal="count" baseField="0" baseItem="0"/>
  </dataFields>
  <formats count="1">
    <format dxfId="161">
      <pivotArea outline="0" collapsedLevelsAreSubtotals="1" fieldPosition="0"/>
    </format>
  </formats>
  <chartFormats count="3">
    <chartFormat chart="16" format="6" series="1">
      <pivotArea type="data" outline="0" fieldPosition="0">
        <references count="1">
          <reference field="4294967294" count="1" selected="0">
            <x v="0"/>
          </reference>
        </references>
      </pivotArea>
    </chartFormat>
    <chartFormat chart="16" format="7">
      <pivotArea type="data" outline="0" fieldPosition="0">
        <references count="2">
          <reference field="4294967294" count="1" selected="0">
            <x v="0"/>
          </reference>
          <reference field="1" count="1" selected="0">
            <x v="0"/>
          </reference>
        </references>
      </pivotArea>
    </chartFormat>
    <chartFormat chart="16" format="8">
      <pivotArea type="data" outline="0" fieldPosition="0">
        <references count="2">
          <reference field="4294967294" count="1" selected="0">
            <x v="0"/>
          </reference>
          <reference field="1" count="1" selected="0">
            <x v="1"/>
          </reference>
        </references>
      </pivotArea>
    </chartFormat>
  </chartFormats>
  <pivotHierarchies count="35">
    <pivotHierarchy dragToData="1"/>
    <pivotHierarchy multipleItemSelectionAllowed="1" dragToData="1">
      <members count="1" level="1">
        <member name="[Calendar_table].[Date (Month)].&amp;[Jan]"/>
      </members>
    </pivotHierarchy>
    <pivotHierarchy dragToData="1"/>
    <pivotHierarchy multipleItemSelectionAllowed="1" dragToData="1">
      <members count="1" level="1">
        <member name="[Calendar_table].[Date (Year)].&amp;[2024]"/>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
    <pivotHierarchy dragToData="1"/>
    <pivotHierarchy dragToData="1" caption="Average of Patient Waittime"/>
    <pivotHierarchy dragToData="1"/>
    <pivotHierarchy dragToData="1" caption="Average of Patient Satisfaction Score"/>
    <pivotHierarchy dragToData="1" caption="Count of Patient Admission Flag2"/>
    <pivotHierarchy dragToData="1" caption="Distinct Count of Patient Admission Flag"/>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7"/>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activeTabTopLevelEntity name="[Calendar_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5AD2EE93-3BD3-4A1B-8F35-88DA95EE30A5}" name="PivotTable5" cacheId="414" applyNumberFormats="0" applyBorderFormats="0" applyFontFormats="0" applyPatternFormats="0" applyAlignmentFormats="0" applyWidthHeightFormats="1" dataCaption="Values" tag="88769299-ee23-4090-8ba6-957137ae326d" updatedVersion="8" minRefreshableVersion="3" subtotalHiddenItems="1" itemPrintTitles="1" createdVersion="8" indent="0" outline="1" outlineData="1" multipleFieldFilters="0" chartFormat="22">
  <location ref="G5:H37" firstHeaderRow="1" firstDataRow="1" firstDataCol="1"/>
  <pivotFields count="4">
    <pivotField axis="axisRow" allDrilled="1" subtotalTop="0" showAll="0" dataSourceSort="1" defaultSubtotal="0" defaultAttributeDrillState="1">
      <items count="31">
        <item x="0"/>
        <item x="1"/>
        <item x="2"/>
        <item x="3"/>
        <item x="4"/>
        <item x="5"/>
        <item x="6"/>
        <item x="7"/>
        <item x="8"/>
        <item x="9"/>
        <item x="10"/>
        <item x="11"/>
        <item x="12"/>
        <item x="13"/>
        <item x="14"/>
        <item x="15"/>
        <item x="16"/>
        <item x="17"/>
        <item x="18"/>
        <item x="19"/>
        <item x="20"/>
        <item x="21"/>
        <item x="22"/>
        <item x="23"/>
        <item x="24"/>
        <item x="25"/>
        <item x="26"/>
        <item x="27"/>
        <item x="28"/>
        <item x="29"/>
        <item x="30"/>
      </items>
    </pivotField>
    <pivotField allDrilled="1" subtotalTop="0" showAll="0" dataSourceSort="1" defaultSubtotal="0" defaultAttributeDrillState="1"/>
    <pivotField dataField="1" subtotalTop="0" showAll="0" defaultSubtotal="0"/>
    <pivotField allDrilled="1" subtotalTop="0" showAll="0" dataSourceSort="1" defaultSubtotal="0" defaultAttributeDrillState="1"/>
  </pivotFields>
  <rowFields count="1">
    <field x="0"/>
  </rowFields>
  <rowItems count="32">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t="grand">
      <x/>
    </i>
  </rowItems>
  <colItems count="1">
    <i/>
  </colItems>
  <dataFields count="1">
    <dataField name="Average of Patient Waittime" fld="2" subtotal="average" baseField="0" baseItem="0"/>
  </dataFields>
  <formats count="2">
    <format dxfId="163">
      <pivotArea collapsedLevelsAreSubtotals="1" fieldPosition="0">
        <references count="1">
          <reference field="0" count="0"/>
        </references>
      </pivotArea>
    </format>
    <format dxfId="162">
      <pivotArea grandRow="1" outline="0" collapsedLevelsAreSubtotals="1" fieldPosition="0"/>
    </format>
  </formats>
  <chartFormats count="3">
    <chartFormat chart="21" format="8" series="1">
      <pivotArea type="data" outline="0" fieldPosition="0">
        <references count="1">
          <reference field="4294967294" count="1" selected="0">
            <x v="0"/>
          </reference>
        </references>
      </pivotArea>
    </chartFormat>
    <chartFormat chart="18" format="6" series="1">
      <pivotArea type="data" outline="0" fieldPosition="0">
        <references count="1">
          <reference field="4294967294" count="1" selected="0">
            <x v="0"/>
          </reference>
        </references>
      </pivotArea>
    </chartFormat>
    <chartFormat chart="14" format="4" series="1">
      <pivotArea type="data" outline="0" fieldPosition="0">
        <references count="1">
          <reference field="4294967294" count="1" selected="0">
            <x v="0"/>
          </reference>
        </references>
      </pivotArea>
    </chartFormat>
  </chartFormats>
  <pivotHierarchies count="35">
    <pivotHierarchy dragToData="1"/>
    <pivotHierarchy multipleItemSelectionAllowed="1" dragToData="1">
      <members count="1" level="1">
        <member name="[Calendar_table].[Date (Month)].&amp;[Jan]"/>
      </members>
    </pivotHierarchy>
    <pivotHierarchy dragToData="1"/>
    <pivotHierarchy multipleItemSelectionAllowed="1" dragToData="1">
      <members count="1" level="1">
        <member name="[Calendar_table].[Date (Year)].&amp;[2024]"/>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
    <pivotHierarchy dragToData="1"/>
    <pivotHierarchy dragToData="1" caption="Average of Patient Waittime"/>
    <pivotHierarchy dragToData="1"/>
    <pivotHierarchy dragToData="1" caption="Average of Patient Satisfaction Score"/>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activeTabTopLevelEntity name="[Calendar_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8B6F1AB8-6DCB-47F2-8565-2605E6B7229B}" name="PivotTable12" cacheId="435" applyNumberFormats="0" applyBorderFormats="0" applyFontFormats="0" applyPatternFormats="0" applyAlignmentFormats="0" applyWidthHeightFormats="1" dataCaption="Values" tag="62fc4e93-da03-4426-a030-32190af46982" updatedVersion="8" minRefreshableVersion="3" subtotalHiddenItems="1" itemPrintTitles="1" createdVersion="8" indent="0" outline="1" outlineData="1" multipleFieldFilters="0" chartFormat="30">
  <location ref="U77:U79" firstHeaderRow="1" firstDataRow="1" firstDataCol="1"/>
  <pivotFields count="4">
    <pivotField axis="axisRow" allDrilled="1" subtotalTop="0" showAll="0" dataSourceSort="1" defaultSubtotal="0">
      <items count="1">
        <item s="1" x="0" e="0"/>
      </items>
    </pivotField>
    <pivotField axis="axisRow" allDrilled="1" subtotalTop="0" showAll="0" dataSourceSort="1" defaultSubtotal="0" defaultAttributeDrillState="1">
      <items count="62">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s>
    </pivotField>
    <pivotField axis="axisRow" allDrilled="1" subtotalTop="0" showAll="0" dataSourceSort="1" defaultSubtotal="0">
      <items count="1">
        <item x="0" e="0"/>
      </items>
    </pivotField>
    <pivotField axis="axisRow" allDrilled="1" subtotalTop="0" showAll="0" dataSourceSort="1" defaultSubtotal="0">
      <items count="1">
        <item s="1" x="0" e="0"/>
      </items>
    </pivotField>
  </pivotFields>
  <rowFields count="4">
    <field x="3"/>
    <field x="2"/>
    <field x="0"/>
    <field x="1"/>
  </rowFields>
  <rowItems count="2">
    <i>
      <x/>
    </i>
    <i t="grand">
      <x/>
    </i>
  </rowItems>
  <formats count="1">
    <format dxfId="164">
      <pivotArea outline="0" collapsedLevelsAreSubtotals="1" fieldPosition="0"/>
    </format>
  </formats>
  <pivotHierarchies count="35">
    <pivotHierarchy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
    <pivotHierarchy dragToData="1"/>
    <pivotHierarchy dragToData="1" caption="Average of Patient Waittime"/>
    <pivotHierarchy dragToData="1"/>
    <pivotHierarchy dragToData="1" caption="Average of Patient Satisfaction Score"/>
    <pivotHierarchy dragToData="1" caption="Count of Patient Admission Flag2"/>
    <pivotHierarchy dragToData="1" caption="Distinct Count of Patient Admission Flag"/>
    <pivotHierarchy dragToData="1"/>
    <pivotHierarchy dragToData="1"/>
    <pivotHierarchy dragToData="1"/>
    <pivotHierarchy dragToData="1"/>
  </pivotHierarchies>
  <pivotTableStyleInfo name="PivotStyleLight16" showRowHeaders="1" showColHeaders="1" showRowStripes="0" showColStripes="0" showLastColumn="1"/>
  <rowHierarchiesUsage count="4">
    <rowHierarchyUsage hierarchyUsage="3"/>
    <rowHierarchyUsage hierarchyUsage="4"/>
    <rowHierarchyUsage hierarchyUsage="1"/>
    <rowHierarchyUsage hierarchyUsage="0"/>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activeTabTopLevelEntity name="[Calendar_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4F3AA652-5C7F-478E-9901-97AFBB15CD3B}" name="PivotTable8" cacheId="423" applyNumberFormats="0" applyBorderFormats="0" applyFontFormats="0" applyPatternFormats="0" applyAlignmentFormats="0" applyWidthHeightFormats="1" dataCaption="Values" tag="62fc4e93-da03-4426-a030-32190af46982" updatedVersion="8" minRefreshableVersion="3" subtotalHiddenItems="1" itemPrintTitles="1" createdVersion="8" indent="0" outline="1" outlineData="1" multipleFieldFilters="0" chartFormat="6">
  <location ref="G68:H77" firstHeaderRow="1" firstDataRow="1" firstDataCol="1"/>
  <pivotFields count="4">
    <pivotField allDrilled="1" subtotalTop="0" showAll="0" dataSourceSort="1" defaultSubtotal="0" defaultAttributeDrillState="1"/>
    <pivotField axis="axisRow" allDrilled="1" subtotalTop="0" showAll="0" dataSourceSort="1" defaultSubtotal="0" defaultAttributeDrillState="1">
      <items count="8">
        <item x="0"/>
        <item x="1"/>
        <item x="2"/>
        <item x="3"/>
        <item x="4"/>
        <item x="5"/>
        <item x="6"/>
        <item x="7"/>
      </items>
    </pivotField>
    <pivotField dataField="1" subtotalTop="0" showAll="0" defaultSubtotal="0"/>
    <pivotField allDrilled="1" subtotalTop="0" showAll="0" dataSourceSort="1" defaultSubtotal="0" defaultAttributeDrillState="1"/>
  </pivotFields>
  <rowFields count="1">
    <field x="1"/>
  </rowFields>
  <rowItems count="9">
    <i>
      <x/>
    </i>
    <i>
      <x v="1"/>
    </i>
    <i>
      <x v="2"/>
    </i>
    <i>
      <x v="3"/>
    </i>
    <i>
      <x v="4"/>
    </i>
    <i>
      <x v="5"/>
    </i>
    <i>
      <x v="6"/>
    </i>
    <i>
      <x v="7"/>
    </i>
    <i t="grand">
      <x/>
    </i>
  </rowItems>
  <colItems count="1">
    <i/>
  </colItems>
  <dataFields count="1">
    <dataField name="Count of Age-Group" fld="2" subtotal="count" baseField="0" baseItem="0" numFmtId="1"/>
  </dataFields>
  <formats count="1">
    <format dxfId="165">
      <pivotArea outline="0" collapsedLevelsAreSubtotals="1" fieldPosition="0"/>
    </format>
  </formats>
  <chartFormats count="1">
    <chartFormat chart="5" format="2" series="1">
      <pivotArea type="data" outline="0" fieldPosition="0">
        <references count="1">
          <reference field="4294967294" count="1" selected="0">
            <x v="0"/>
          </reference>
        </references>
      </pivotArea>
    </chartFormat>
  </chartFormats>
  <pivotHierarchies count="35">
    <pivotHierarchy dragToData="1"/>
    <pivotHierarchy multipleItemSelectionAllowed="1" dragToData="1">
      <members count="1" level="1">
        <member name="[Calendar_table].[Date (Month)].&amp;[Jan]"/>
      </members>
    </pivotHierarchy>
    <pivotHierarchy dragToData="1"/>
    <pivotHierarchy multipleItemSelectionAllowed="1" dragToData="1">
      <members count="1" level="1">
        <member name="[Calendar_table].[Date (Year)].&amp;[2024]"/>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
    <pivotHierarchy dragToData="1"/>
    <pivotHierarchy dragToData="1" caption="Average of Patient Waittime"/>
    <pivotHierarchy dragToData="1"/>
    <pivotHierarchy dragToData="1" caption="Average of Patient Satisfaction Score"/>
    <pivotHierarchy dragToData="1" caption="Count of Patient Admission Flag2"/>
    <pivotHierarchy dragToData="1" caption="Distinct Count of Patient Admission Flag"/>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6"/>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activeTabTopLevelEntity name="[Calendar_table]"/>
      </x15:pivotTableUISettings>
    </ext>
    <ext xmlns:xpdl="http://schemas.microsoft.com/office/spreadsheetml/2016/pivotdefaultlayout" uri="{747A6164-185A-40DC-8AA5-F01512510D54}">
      <xpdl:pivotTableDefinition16 EnabledSubtotalsDefault="0" SubtotalsOnTopDefault="0"/>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ate__Month" xr10:uid="{105DC4A7-AE7D-49DF-890F-EF0A7A636B9D}" sourceName="[Calendar_table].[Date (Month)]">
  <pivotTables>
    <pivotTable tabId="1" name="PivotTable4"/>
    <pivotTable tabId="1" name="PivotTable1"/>
    <pivotTable tabId="1" name="PivotTable2"/>
    <pivotTable tabId="1" name="PivotTable3"/>
    <pivotTable tabId="1" name="PivotTable5"/>
    <pivotTable tabId="1" name="PivotTable6"/>
    <pivotTable tabId="1" name="PivotTable7"/>
    <pivotTable tabId="1" name="PivotTable8"/>
    <pivotTable tabId="1" name="PivotTable9"/>
    <pivotTable tabId="1" name="PivotTable10"/>
    <pivotTable tabId="1" name="PivotTable11"/>
    <pivotTable tabId="1" name="PivotTable12"/>
  </pivotTables>
  <data>
    <olap pivotCacheId="2069438657">
      <levels count="2">
        <level uniqueName="[Calendar_table].[Date (Month)].[(All)]" sourceCaption="(All)" count="0"/>
        <level uniqueName="[Calendar_table].[Date (Month)].[Date (Month)]" sourceCaption="Date (Month)" count="12">
          <ranges>
            <range startItem="0">
              <i n="[Calendar_table].[Date (Month)].&amp;[Jan]" c="Jan"/>
              <i n="[Calendar_table].[Date (Month)].&amp;[Feb]" c="Feb"/>
              <i n="[Calendar_table].[Date (Month)].&amp;[Mar]" c="Mar"/>
              <i n="[Calendar_table].[Date (Month)].&amp;[Apr]" c="Apr"/>
              <i n="[Calendar_table].[Date (Month)].&amp;[May]" c="May"/>
              <i n="[Calendar_table].[Date (Month)].&amp;[Jun]" c="Jun"/>
              <i n="[Calendar_table].[Date (Month)].&amp;[Jul]" c="Jul"/>
              <i n="[Calendar_table].[Date (Month)].&amp;[Aug]" c="Aug"/>
              <i n="[Calendar_table].[Date (Month)].&amp;[Sep]" c="Sep"/>
              <i n="[Calendar_table].[Date (Month)].&amp;[Oct]" c="Oct"/>
              <i n="[Calendar_table].[Date (Month)].&amp;[Nov]" c="Nov"/>
              <i n="[Calendar_table].[Date (Month)].&amp;[Dec]" c="Dec"/>
            </range>
          </ranges>
        </level>
      </levels>
      <selections count="1">
        <selection n="[Calendar_table].[Date (Month)].&amp;[Jan]"/>
      </selections>
    </olap>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ate__Year" xr10:uid="{E7D4F887-0943-4121-BB2A-6A1AD09DFDF9}" sourceName="[Calendar_table].[Date (Year)]">
  <pivotTables>
    <pivotTable tabId="1" name="PivotTable12"/>
    <pivotTable tabId="1" name="PivotTable1"/>
    <pivotTable tabId="1" name="PivotTable10"/>
    <pivotTable tabId="1" name="PivotTable11"/>
    <pivotTable tabId="1" name="PivotTable3"/>
    <pivotTable tabId="1" name="PivotTable4"/>
    <pivotTable tabId="1" name="PivotTable5"/>
    <pivotTable tabId="1" name="PivotTable6"/>
    <pivotTable tabId="1" name="PivotTable7"/>
    <pivotTable tabId="1" name="PivotTable8"/>
    <pivotTable tabId="1" name="PivotTable9"/>
  </pivotTables>
  <data>
    <olap pivotCacheId="2069438657">
      <levels count="2">
        <level uniqueName="[Calendar_table].[Date (Year)].[(All)]" sourceCaption="(All)" count="0"/>
        <level uniqueName="[Calendar_table].[Date (Year)].[Date (Year)]" sourceCaption="Date (Year)" count="2">
          <ranges>
            <range startItem="0">
              <i n="[Calendar_table].[Date (Year)].&amp;[2023]" c="2023"/>
              <i n="[Calendar_table].[Date (Year)].&amp;[2024]" c="2024"/>
            </range>
          </ranges>
        </level>
      </levels>
      <selections count="1">
        <selection n="[Calendar_table].[Date (Year)].&amp;[2024]"/>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Date (Month) 1" xr10:uid="{D2D83DE6-8D73-41CB-88D7-A5349C75DBD6}" cache="Slicer_Date__Month" caption="Date (Month)" showCaption="0" level="1" style=" my" rowHeight="144000"/>
  <slicer name="Date (Year)" xr10:uid="{D4E93F22-84AF-44F9-BF1A-578067F02141}" cache="Slicer_Date__Year" caption="Date (Year)" columnCount="2" showCaption="0" level="1" style=" my" rowHeight="23495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8" Type="http://schemas.openxmlformats.org/officeDocument/2006/relationships/pivotTable" Target="../pivotTables/pivotTable8.xml"/><Relationship Id="rId13" Type="http://schemas.openxmlformats.org/officeDocument/2006/relationships/printerSettings" Target="../printerSettings/printerSettings1.bin"/><Relationship Id="rId3" Type="http://schemas.openxmlformats.org/officeDocument/2006/relationships/pivotTable" Target="../pivotTables/pivotTable3.xml"/><Relationship Id="rId7" Type="http://schemas.openxmlformats.org/officeDocument/2006/relationships/pivotTable" Target="../pivotTables/pivotTable7.xml"/><Relationship Id="rId12" Type="http://schemas.openxmlformats.org/officeDocument/2006/relationships/pivotTable" Target="../pivotTables/pivotTable12.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openxmlformats.org/officeDocument/2006/relationships/pivotTable" Target="../pivotTables/pivotTable11.xml"/><Relationship Id="rId5" Type="http://schemas.openxmlformats.org/officeDocument/2006/relationships/pivotTable" Target="../pivotTables/pivotTable5.xml"/><Relationship Id="rId10" Type="http://schemas.openxmlformats.org/officeDocument/2006/relationships/pivotTable" Target="../pivotTables/pivotTable10.xml"/><Relationship Id="rId4" Type="http://schemas.openxmlformats.org/officeDocument/2006/relationships/pivotTable" Target="../pivotTables/pivotTable4.xml"/><Relationship Id="rId9" Type="http://schemas.openxmlformats.org/officeDocument/2006/relationships/pivotTable" Target="../pivotTables/pivotTable9.xml"/><Relationship Id="rId14"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vmlDrawing" Target="../drawings/vmlDrawing1.vml"/><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7.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140D635-88CD-49E9-8748-7E8A66B8C1EE}">
  <dimension ref="A5:U87"/>
  <sheetViews>
    <sheetView topLeftCell="M68" zoomScale="114" workbookViewId="0">
      <selection activeCell="U77" sqref="U77"/>
    </sheetView>
  </sheetViews>
  <sheetFormatPr defaultRowHeight="14.4" x14ac:dyDescent="0.3"/>
  <cols>
    <col min="1" max="1" width="23.88671875" bestFit="1" customWidth="1"/>
    <col min="2" max="2" width="14.88671875" customWidth="1"/>
    <col min="3" max="3" width="12.109375" customWidth="1"/>
    <col min="4" max="4" width="7.109375" customWidth="1"/>
    <col min="7" max="7" width="12.5546875" bestFit="1" customWidth="1"/>
    <col min="8" max="8" width="28.109375" bestFit="1" customWidth="1"/>
    <col min="9" max="9" width="29.109375" bestFit="1" customWidth="1"/>
    <col min="11" max="11" width="12.5546875" bestFit="1" customWidth="1"/>
    <col min="12" max="12" width="32.44140625" bestFit="1" customWidth="1"/>
    <col min="15" max="15" width="15.44140625" bestFit="1" customWidth="1"/>
    <col min="16" max="16" width="26.44140625" bestFit="1" customWidth="1"/>
    <col min="21" max="21" width="12.5546875" bestFit="1" customWidth="1"/>
  </cols>
  <sheetData>
    <row r="5" spans="1:12" x14ac:dyDescent="0.3">
      <c r="A5" t="s">
        <v>0</v>
      </c>
      <c r="C5" s="1" t="s">
        <v>3</v>
      </c>
      <c r="D5" t="s">
        <v>0</v>
      </c>
      <c r="G5" s="1" t="s">
        <v>3</v>
      </c>
      <c r="H5" t="s">
        <v>1</v>
      </c>
    </row>
    <row r="6" spans="1:12" x14ac:dyDescent="0.3">
      <c r="A6" s="12">
        <v>513</v>
      </c>
      <c r="C6" s="4" t="s">
        <v>37</v>
      </c>
      <c r="D6" s="12">
        <v>19</v>
      </c>
      <c r="G6" s="4" t="s">
        <v>37</v>
      </c>
      <c r="H6" s="2">
        <v>37.789473684210527</v>
      </c>
      <c r="K6" s="1" t="s">
        <v>3</v>
      </c>
      <c r="L6" t="s">
        <v>2</v>
      </c>
    </row>
    <row r="7" spans="1:12" x14ac:dyDescent="0.3">
      <c r="C7" s="4" t="s">
        <v>38</v>
      </c>
      <c r="D7" s="12">
        <v>14</v>
      </c>
      <c r="G7" s="4" t="s">
        <v>38</v>
      </c>
      <c r="H7" s="2">
        <v>38.214285714285715</v>
      </c>
      <c r="K7" s="4" t="s">
        <v>37</v>
      </c>
      <c r="L7" s="2">
        <v>6.666666666666667</v>
      </c>
    </row>
    <row r="8" spans="1:12" x14ac:dyDescent="0.3">
      <c r="C8" s="4" t="s">
        <v>39</v>
      </c>
      <c r="D8" s="12">
        <v>13</v>
      </c>
      <c r="G8" s="4" t="s">
        <v>39</v>
      </c>
      <c r="H8" s="2">
        <v>40.92307692307692</v>
      </c>
      <c r="K8" s="4" t="s">
        <v>38</v>
      </c>
      <c r="L8" s="2">
        <v>3.5</v>
      </c>
    </row>
    <row r="9" spans="1:12" x14ac:dyDescent="0.3">
      <c r="C9" s="4" t="s">
        <v>40</v>
      </c>
      <c r="D9" s="12">
        <v>22</v>
      </c>
      <c r="G9" s="4" t="s">
        <v>40</v>
      </c>
      <c r="H9" s="2">
        <v>34.5</v>
      </c>
      <c r="K9" s="4" t="s">
        <v>39</v>
      </c>
      <c r="L9" s="2">
        <v>4.5</v>
      </c>
    </row>
    <row r="10" spans="1:12" x14ac:dyDescent="0.3">
      <c r="B10" t="s">
        <v>1</v>
      </c>
      <c r="C10" s="4" t="s">
        <v>41</v>
      </c>
      <c r="D10" s="12">
        <v>19</v>
      </c>
      <c r="G10" s="4" t="s">
        <v>41</v>
      </c>
      <c r="H10" s="2">
        <v>30.684210526315791</v>
      </c>
      <c r="K10" s="4" t="s">
        <v>40</v>
      </c>
      <c r="L10" s="2">
        <v>4.8</v>
      </c>
    </row>
    <row r="11" spans="1:12" x14ac:dyDescent="0.3">
      <c r="B11" s="2">
        <v>36.323586744639378</v>
      </c>
      <c r="C11" s="4" t="s">
        <v>42</v>
      </c>
      <c r="D11" s="12">
        <v>15</v>
      </c>
      <c r="G11" s="4" t="s">
        <v>42</v>
      </c>
      <c r="H11" s="2">
        <v>37.666666666666664</v>
      </c>
      <c r="K11" s="4" t="s">
        <v>41</v>
      </c>
      <c r="L11" s="2">
        <v>7.75</v>
      </c>
    </row>
    <row r="12" spans="1:12" x14ac:dyDescent="0.3">
      <c r="C12" s="4" t="s">
        <v>43</v>
      </c>
      <c r="D12" s="12">
        <v>12</v>
      </c>
      <c r="G12" s="4" t="s">
        <v>43</v>
      </c>
      <c r="H12" s="2">
        <v>36.083333333333336</v>
      </c>
      <c r="K12" s="4" t="s">
        <v>42</v>
      </c>
      <c r="L12" s="2">
        <v>6.2</v>
      </c>
    </row>
    <row r="13" spans="1:12" x14ac:dyDescent="0.3">
      <c r="C13" s="4" t="s">
        <v>44</v>
      </c>
      <c r="D13" s="12">
        <v>21</v>
      </c>
      <c r="G13" s="4" t="s">
        <v>44</v>
      </c>
      <c r="H13" s="2">
        <v>43.523809523809526</v>
      </c>
      <c r="K13" s="4" t="s">
        <v>43</v>
      </c>
      <c r="L13" s="2">
        <v>3.75</v>
      </c>
    </row>
    <row r="14" spans="1:12" x14ac:dyDescent="0.3">
      <c r="C14" s="4" t="s">
        <v>45</v>
      </c>
      <c r="D14" s="12">
        <v>12</v>
      </c>
      <c r="G14" s="4" t="s">
        <v>45</v>
      </c>
      <c r="H14" s="2">
        <v>29.5</v>
      </c>
      <c r="K14" s="4" t="s">
        <v>44</v>
      </c>
      <c r="L14" s="2">
        <v>6.5</v>
      </c>
    </row>
    <row r="15" spans="1:12" x14ac:dyDescent="0.3">
      <c r="C15" s="4" t="s">
        <v>46</v>
      </c>
      <c r="D15" s="12">
        <v>13</v>
      </c>
      <c r="G15" s="4" t="s">
        <v>46</v>
      </c>
      <c r="H15" s="2">
        <v>38.07692307692308</v>
      </c>
      <c r="K15" s="4" t="s">
        <v>45</v>
      </c>
      <c r="L15" s="2">
        <v>3</v>
      </c>
    </row>
    <row r="16" spans="1:12" x14ac:dyDescent="0.3">
      <c r="B16" t="s">
        <v>2</v>
      </c>
      <c r="C16" s="4" t="s">
        <v>47</v>
      </c>
      <c r="D16" s="12">
        <v>13</v>
      </c>
      <c r="G16" s="4" t="s">
        <v>47</v>
      </c>
      <c r="H16" s="2">
        <v>35.846153846153847</v>
      </c>
      <c r="K16" s="4" t="s">
        <v>46</v>
      </c>
      <c r="L16" s="2">
        <v>4.5</v>
      </c>
    </row>
    <row r="17" spans="2:12" x14ac:dyDescent="0.3">
      <c r="B17" s="2">
        <v>4.9591836734693882</v>
      </c>
      <c r="C17" s="4" t="s">
        <v>48</v>
      </c>
      <c r="D17" s="12">
        <v>16</v>
      </c>
      <c r="G17" s="4" t="s">
        <v>48</v>
      </c>
      <c r="H17" s="2">
        <v>32.625</v>
      </c>
      <c r="K17" s="4" t="s">
        <v>47</v>
      </c>
      <c r="L17" s="2">
        <v>6</v>
      </c>
    </row>
    <row r="18" spans="2:12" x14ac:dyDescent="0.3">
      <c r="C18" s="4" t="s">
        <v>49</v>
      </c>
      <c r="D18" s="12">
        <v>20</v>
      </c>
      <c r="G18" s="4" t="s">
        <v>49</v>
      </c>
      <c r="H18" s="2">
        <v>39.200000000000003</v>
      </c>
      <c r="K18" s="4" t="s">
        <v>48</v>
      </c>
      <c r="L18" s="2">
        <v>5.2</v>
      </c>
    </row>
    <row r="19" spans="2:12" x14ac:dyDescent="0.3">
      <c r="C19" s="4" t="s">
        <v>50</v>
      </c>
      <c r="D19" s="12">
        <v>25</v>
      </c>
      <c r="G19" s="4" t="s">
        <v>50</v>
      </c>
      <c r="H19" s="2">
        <v>35.28</v>
      </c>
      <c r="K19" s="4" t="s">
        <v>49</v>
      </c>
      <c r="L19" s="2">
        <v>4.4000000000000004</v>
      </c>
    </row>
    <row r="20" spans="2:12" x14ac:dyDescent="0.3">
      <c r="C20" s="4" t="s">
        <v>51</v>
      </c>
      <c r="D20" s="12">
        <v>20</v>
      </c>
      <c r="G20" s="4" t="s">
        <v>51</v>
      </c>
      <c r="H20" s="2">
        <v>32.549999999999997</v>
      </c>
      <c r="K20" s="4" t="s">
        <v>50</v>
      </c>
      <c r="L20" s="2">
        <v>3.4545454545454546</v>
      </c>
    </row>
    <row r="21" spans="2:12" x14ac:dyDescent="0.3">
      <c r="C21" s="4" t="s">
        <v>52</v>
      </c>
      <c r="D21" s="12">
        <v>14</v>
      </c>
      <c r="G21" s="4" t="s">
        <v>52</v>
      </c>
      <c r="H21" s="2">
        <v>35.642857142857146</v>
      </c>
      <c r="K21" s="4" t="s">
        <v>51</v>
      </c>
      <c r="L21" s="2">
        <v>4.4000000000000004</v>
      </c>
    </row>
    <row r="22" spans="2:12" x14ac:dyDescent="0.3">
      <c r="C22" s="4" t="s">
        <v>53</v>
      </c>
      <c r="D22" s="12">
        <v>17</v>
      </c>
      <c r="G22" s="4" t="s">
        <v>53</v>
      </c>
      <c r="H22" s="2">
        <v>38.764705882352942</v>
      </c>
      <c r="K22" s="4" t="s">
        <v>52</v>
      </c>
      <c r="L22" s="2">
        <v>5.833333333333333</v>
      </c>
    </row>
    <row r="23" spans="2:12" x14ac:dyDescent="0.3">
      <c r="C23" s="4" t="s">
        <v>54</v>
      </c>
      <c r="D23" s="12">
        <v>20</v>
      </c>
      <c r="G23" s="4" t="s">
        <v>54</v>
      </c>
      <c r="H23" s="2">
        <v>39.9</v>
      </c>
      <c r="K23" s="4" t="s">
        <v>53</v>
      </c>
      <c r="L23" s="2">
        <v>4.4444444444444446</v>
      </c>
    </row>
    <row r="24" spans="2:12" x14ac:dyDescent="0.3">
      <c r="C24" s="4" t="s">
        <v>55</v>
      </c>
      <c r="D24" s="12">
        <v>10</v>
      </c>
      <c r="G24" s="4" t="s">
        <v>55</v>
      </c>
      <c r="H24" s="2">
        <v>41.6</v>
      </c>
      <c r="K24" s="4" t="s">
        <v>54</v>
      </c>
      <c r="L24" s="2">
        <v>5.333333333333333</v>
      </c>
    </row>
    <row r="25" spans="2:12" x14ac:dyDescent="0.3">
      <c r="C25" s="4" t="s">
        <v>56</v>
      </c>
      <c r="D25" s="12">
        <v>17</v>
      </c>
      <c r="G25" s="4" t="s">
        <v>56</v>
      </c>
      <c r="H25" s="2">
        <v>39.470588235294116</v>
      </c>
      <c r="K25" s="4" t="s">
        <v>55</v>
      </c>
      <c r="L25" s="2">
        <v>5.333333333333333</v>
      </c>
    </row>
    <row r="26" spans="2:12" x14ac:dyDescent="0.3">
      <c r="C26" s="4" t="s">
        <v>57</v>
      </c>
      <c r="D26" s="12">
        <v>15</v>
      </c>
      <c r="G26" s="4" t="s">
        <v>57</v>
      </c>
      <c r="H26" s="2">
        <v>27.733333333333334</v>
      </c>
      <c r="K26" s="4" t="s">
        <v>56</v>
      </c>
      <c r="L26" s="2">
        <v>5.5714285714285712</v>
      </c>
    </row>
    <row r="27" spans="2:12" x14ac:dyDescent="0.3">
      <c r="C27" s="4" t="s">
        <v>58</v>
      </c>
      <c r="D27" s="12">
        <v>16</v>
      </c>
      <c r="G27" s="4" t="s">
        <v>58</v>
      </c>
      <c r="H27" s="2">
        <v>36.875</v>
      </c>
      <c r="K27" s="4" t="s">
        <v>57</v>
      </c>
      <c r="L27" s="2">
        <v>5</v>
      </c>
    </row>
    <row r="28" spans="2:12" x14ac:dyDescent="0.3">
      <c r="C28" s="4" t="s">
        <v>59</v>
      </c>
      <c r="D28" s="12">
        <v>18</v>
      </c>
      <c r="G28" s="4" t="s">
        <v>59</v>
      </c>
      <c r="H28" s="2">
        <v>40.333333333333336</v>
      </c>
      <c r="K28" s="4" t="s">
        <v>58</v>
      </c>
      <c r="L28" s="2">
        <v>6.4</v>
      </c>
    </row>
    <row r="29" spans="2:12" x14ac:dyDescent="0.3">
      <c r="C29" s="4" t="s">
        <v>60</v>
      </c>
      <c r="D29" s="12">
        <v>16</v>
      </c>
      <c r="G29" s="4" t="s">
        <v>60</v>
      </c>
      <c r="H29" s="2">
        <v>36.5</v>
      </c>
      <c r="K29" s="4" t="s">
        <v>59</v>
      </c>
      <c r="L29" s="2">
        <v>5.333333333333333</v>
      </c>
    </row>
    <row r="30" spans="2:12" x14ac:dyDescent="0.3">
      <c r="C30" s="4" t="s">
        <v>61</v>
      </c>
      <c r="D30" s="12">
        <v>15</v>
      </c>
      <c r="G30" s="4" t="s">
        <v>61</v>
      </c>
      <c r="H30" s="2">
        <v>32.866666666666667</v>
      </c>
      <c r="K30" s="4" t="s">
        <v>60</v>
      </c>
      <c r="L30" s="2">
        <v>3.75</v>
      </c>
    </row>
    <row r="31" spans="2:12" x14ac:dyDescent="0.3">
      <c r="C31" s="4" t="s">
        <v>62</v>
      </c>
      <c r="D31" s="12">
        <v>14</v>
      </c>
      <c r="G31" s="4" t="s">
        <v>62</v>
      </c>
      <c r="H31" s="2">
        <v>36.642857142857146</v>
      </c>
      <c r="K31" s="4" t="s">
        <v>61</v>
      </c>
      <c r="L31" s="2">
        <v>6.333333333333333</v>
      </c>
    </row>
    <row r="32" spans="2:12" x14ac:dyDescent="0.3">
      <c r="C32" s="4" t="s">
        <v>63</v>
      </c>
      <c r="D32" s="12">
        <v>16</v>
      </c>
      <c r="G32" s="4" t="s">
        <v>63</v>
      </c>
      <c r="H32" s="2">
        <v>36.5625</v>
      </c>
      <c r="K32" s="4" t="s">
        <v>62</v>
      </c>
      <c r="L32" s="2">
        <v>10</v>
      </c>
    </row>
    <row r="33" spans="3:12" x14ac:dyDescent="0.3">
      <c r="C33" s="4" t="s">
        <v>64</v>
      </c>
      <c r="D33" s="12">
        <v>20</v>
      </c>
      <c r="G33" s="4" t="s">
        <v>64</v>
      </c>
      <c r="H33" s="2">
        <v>32.15</v>
      </c>
      <c r="K33" s="4" t="s">
        <v>63</v>
      </c>
      <c r="L33" s="2">
        <v>5</v>
      </c>
    </row>
    <row r="34" spans="3:12" x14ac:dyDescent="0.3">
      <c r="C34" s="4" t="s">
        <v>65</v>
      </c>
      <c r="D34" s="12">
        <v>19</v>
      </c>
      <c r="G34" s="4" t="s">
        <v>65</v>
      </c>
      <c r="H34" s="2">
        <v>38.368421052631582</v>
      </c>
      <c r="K34" s="4" t="s">
        <v>64</v>
      </c>
      <c r="L34" s="2">
        <v>5.333333333333333</v>
      </c>
    </row>
    <row r="35" spans="3:12" x14ac:dyDescent="0.3">
      <c r="C35" s="4" t="s">
        <v>66</v>
      </c>
      <c r="D35" s="12">
        <v>14</v>
      </c>
      <c r="G35" s="4" t="s">
        <v>66</v>
      </c>
      <c r="H35" s="2">
        <v>33.071428571428569</v>
      </c>
      <c r="K35" s="4" t="s">
        <v>65</v>
      </c>
      <c r="L35" s="2">
        <v>4.8</v>
      </c>
    </row>
    <row r="36" spans="3:12" x14ac:dyDescent="0.3">
      <c r="C36" s="4" t="s">
        <v>67</v>
      </c>
      <c r="D36" s="12">
        <v>18</v>
      </c>
      <c r="G36" s="4" t="s">
        <v>67</v>
      </c>
      <c r="H36" s="2">
        <v>36.444444444444443</v>
      </c>
      <c r="K36" s="4" t="s">
        <v>66</v>
      </c>
      <c r="L36" s="2">
        <v>5</v>
      </c>
    </row>
    <row r="37" spans="3:12" x14ac:dyDescent="0.3">
      <c r="C37" s="4" t="s">
        <v>4</v>
      </c>
      <c r="D37" s="12">
        <v>513</v>
      </c>
      <c r="G37" s="4" t="s">
        <v>4</v>
      </c>
      <c r="H37" s="2">
        <v>36.323586744639378</v>
      </c>
      <c r="K37" s="4" t="s">
        <v>67</v>
      </c>
      <c r="L37" s="2">
        <v>1.4</v>
      </c>
    </row>
    <row r="38" spans="3:12" x14ac:dyDescent="0.3">
      <c r="K38" s="4" t="s">
        <v>4</v>
      </c>
      <c r="L38" s="2">
        <v>4.9591836734693882</v>
      </c>
    </row>
    <row r="50" spans="2:6" x14ac:dyDescent="0.3">
      <c r="B50" s="1" t="s">
        <v>3</v>
      </c>
      <c r="C50" t="s">
        <v>8</v>
      </c>
      <c r="D50" t="s">
        <v>11</v>
      </c>
    </row>
    <row r="51" spans="2:6" x14ac:dyDescent="0.3">
      <c r="B51" s="4" t="s">
        <v>5</v>
      </c>
      <c r="C51" s="2">
        <v>269</v>
      </c>
      <c r="D51" s="6">
        <v>0.52436647173489281</v>
      </c>
    </row>
    <row r="52" spans="2:6" x14ac:dyDescent="0.3">
      <c r="B52" s="4" t="s">
        <v>6</v>
      </c>
      <c r="C52" s="2">
        <v>244</v>
      </c>
      <c r="D52" s="6">
        <v>0.47563352826510719</v>
      </c>
    </row>
    <row r="53" spans="2:6" x14ac:dyDescent="0.3">
      <c r="B53" s="4" t="s">
        <v>4</v>
      </c>
      <c r="C53" s="2">
        <v>513</v>
      </c>
      <c r="D53" s="6">
        <v>1</v>
      </c>
    </row>
    <row r="57" spans="2:6" x14ac:dyDescent="0.3">
      <c r="B57" s="8" t="s">
        <v>7</v>
      </c>
      <c r="C57" s="8" t="s">
        <v>9</v>
      </c>
      <c r="D57" s="8" t="s">
        <v>10</v>
      </c>
      <c r="E57" s="7"/>
      <c r="F57" s="7"/>
    </row>
    <row r="58" spans="2:6" x14ac:dyDescent="0.3">
      <c r="B58" s="9" t="str">
        <f>B51</f>
        <v>Admitted</v>
      </c>
      <c r="C58" s="9">
        <f t="shared" ref="C58:D59" si="0">C51</f>
        <v>269</v>
      </c>
      <c r="D58" s="10">
        <f t="shared" si="0"/>
        <v>0.52436647173489281</v>
      </c>
    </row>
    <row r="59" spans="2:6" x14ac:dyDescent="0.3">
      <c r="B59" s="9" t="str">
        <f>B52</f>
        <v>Not Admitted</v>
      </c>
      <c r="C59" s="9">
        <f t="shared" si="0"/>
        <v>244</v>
      </c>
      <c r="D59" s="10">
        <f t="shared" si="0"/>
        <v>0.47563352826510719</v>
      </c>
    </row>
    <row r="67" spans="7:21" x14ac:dyDescent="0.3">
      <c r="K67" s="1" t="s">
        <v>3</v>
      </c>
      <c r="L67" t="s">
        <v>23</v>
      </c>
    </row>
    <row r="68" spans="7:21" x14ac:dyDescent="0.3">
      <c r="G68" s="1" t="s">
        <v>3</v>
      </c>
      <c r="H68" t="s">
        <v>20</v>
      </c>
      <c r="K68" s="4" t="s">
        <v>21</v>
      </c>
      <c r="L68" s="11">
        <v>316</v>
      </c>
    </row>
    <row r="69" spans="7:21" x14ac:dyDescent="0.3">
      <c r="G69" s="4" t="s">
        <v>12</v>
      </c>
      <c r="H69" s="11">
        <v>76</v>
      </c>
      <c r="K69" s="4" t="s">
        <v>22</v>
      </c>
      <c r="L69" s="11">
        <v>197</v>
      </c>
    </row>
    <row r="70" spans="7:21" x14ac:dyDescent="0.3">
      <c r="G70" s="4" t="s">
        <v>13</v>
      </c>
      <c r="H70" s="11">
        <v>69</v>
      </c>
      <c r="K70" s="4" t="s">
        <v>4</v>
      </c>
      <c r="L70" s="11">
        <v>513</v>
      </c>
    </row>
    <row r="71" spans="7:21" x14ac:dyDescent="0.3">
      <c r="G71" s="4" t="s">
        <v>14</v>
      </c>
      <c r="H71" s="11">
        <v>64</v>
      </c>
    </row>
    <row r="72" spans="7:21" x14ac:dyDescent="0.3">
      <c r="G72" s="4" t="s">
        <v>15</v>
      </c>
      <c r="H72" s="11">
        <v>59</v>
      </c>
    </row>
    <row r="73" spans="7:21" x14ac:dyDescent="0.3">
      <c r="G73" s="4" t="s">
        <v>16</v>
      </c>
      <c r="H73" s="11">
        <v>58</v>
      </c>
    </row>
    <row r="74" spans="7:21" x14ac:dyDescent="0.3">
      <c r="G74" s="4" t="s">
        <v>17</v>
      </c>
      <c r="H74" s="11">
        <v>66</v>
      </c>
    </row>
    <row r="75" spans="7:21" x14ac:dyDescent="0.3">
      <c r="G75" s="4" t="s">
        <v>18</v>
      </c>
      <c r="H75" s="11">
        <v>67</v>
      </c>
    </row>
    <row r="76" spans="7:21" x14ac:dyDescent="0.3">
      <c r="G76" s="4" t="s">
        <v>19</v>
      </c>
      <c r="H76" s="11">
        <v>54</v>
      </c>
    </row>
    <row r="77" spans="7:21" x14ac:dyDescent="0.3">
      <c r="G77" s="4" t="s">
        <v>4</v>
      </c>
      <c r="H77" s="11">
        <v>513</v>
      </c>
      <c r="U77" s="1" t="s">
        <v>3</v>
      </c>
    </row>
    <row r="78" spans="7:21" x14ac:dyDescent="0.3">
      <c r="K78" s="1" t="s">
        <v>3</v>
      </c>
      <c r="L78" t="s">
        <v>26</v>
      </c>
      <c r="O78" s="1" t="s">
        <v>3</v>
      </c>
      <c r="P78" t="s">
        <v>35</v>
      </c>
      <c r="U78" s="4" t="s">
        <v>36</v>
      </c>
    </row>
    <row r="79" spans="7:21" x14ac:dyDescent="0.3">
      <c r="K79" s="4" t="s">
        <v>24</v>
      </c>
      <c r="L79" s="11">
        <v>241</v>
      </c>
      <c r="O79" s="4" t="s">
        <v>31</v>
      </c>
      <c r="P79" s="11">
        <v>299</v>
      </c>
      <c r="U79" s="4" t="s">
        <v>4</v>
      </c>
    </row>
    <row r="80" spans="7:21" x14ac:dyDescent="0.3">
      <c r="K80" s="4" t="s">
        <v>25</v>
      </c>
      <c r="L80" s="11">
        <v>272</v>
      </c>
      <c r="O80" s="4" t="s">
        <v>29</v>
      </c>
      <c r="P80" s="11">
        <v>103</v>
      </c>
    </row>
    <row r="81" spans="11:16" x14ac:dyDescent="0.3">
      <c r="K81" s="4" t="s">
        <v>4</v>
      </c>
      <c r="L81" s="11">
        <v>513</v>
      </c>
      <c r="O81" s="4" t="s">
        <v>32</v>
      </c>
      <c r="P81" s="11">
        <v>65</v>
      </c>
    </row>
    <row r="82" spans="11:16" x14ac:dyDescent="0.3">
      <c r="O82" s="4" t="s">
        <v>33</v>
      </c>
      <c r="P82" s="11">
        <v>14</v>
      </c>
    </row>
    <row r="83" spans="11:16" x14ac:dyDescent="0.3">
      <c r="O83" s="4" t="s">
        <v>27</v>
      </c>
      <c r="P83" s="11">
        <v>14</v>
      </c>
    </row>
    <row r="84" spans="11:16" x14ac:dyDescent="0.3">
      <c r="O84" s="4" t="s">
        <v>30</v>
      </c>
      <c r="P84" s="11">
        <v>9</v>
      </c>
    </row>
    <row r="85" spans="11:16" x14ac:dyDescent="0.3">
      <c r="O85" s="4" t="s">
        <v>34</v>
      </c>
      <c r="P85" s="11">
        <v>5</v>
      </c>
    </row>
    <row r="86" spans="11:16" x14ac:dyDescent="0.3">
      <c r="O86" s="4" t="s">
        <v>28</v>
      </c>
      <c r="P86" s="11">
        <v>4</v>
      </c>
    </row>
    <row r="87" spans="11:16" x14ac:dyDescent="0.3">
      <c r="O87" s="4" t="s">
        <v>4</v>
      </c>
      <c r="P87" s="11">
        <v>513</v>
      </c>
    </row>
  </sheetData>
  <pageMargins left="0.7" right="0.7" top="0.75" bottom="0.75" header="0.3" footer="0.3"/>
  <pageSetup orientation="portrait" r:id="rId13"/>
  <drawing r:id="rId14"/>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FF2EB0D-028D-4AE2-B710-5A0D98819A9D}">
  <dimension ref="A1"/>
  <sheetViews>
    <sheetView tabSelected="1" zoomScale="159" zoomScaleNormal="179" workbookViewId="0">
      <selection activeCell="N8" sqref="N8"/>
    </sheetView>
  </sheetViews>
  <sheetFormatPr defaultRowHeight="14.4" x14ac:dyDescent="0.3"/>
  <cols>
    <col min="1" max="11" width="8.88671875" style="3"/>
    <col min="12" max="12" width="9.109375" style="3" customWidth="1"/>
    <col min="13" max="16384" width="8.88671875" style="3"/>
  </cols>
  <sheetData/>
  <pageMargins left="0.7" right="0.7" top="0.75" bottom="0.75" header="0.3" footer="0.3"/>
  <drawing r:id="rId1"/>
  <legacyDrawing r:id="rId2"/>
  <extLst>
    <ext xmlns:x14="http://schemas.microsoft.com/office/spreadsheetml/2009/9/main" uri="{A8765BA9-456A-4dab-B4F3-ACF838C121DE}">
      <x14:slicerList>
        <x14:slicer r:id="rId3"/>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41ECE1C-F885-467D-8AA7-8DD910EDFD0B}">
  <dimension ref="A1"/>
  <sheetViews>
    <sheetView zoomScale="152" workbookViewId="0"/>
  </sheetViews>
  <sheetFormatPr defaultRowHeight="14.4" x14ac:dyDescent="0.3"/>
  <cols>
    <col min="1" max="16384" width="8.88671875" style="5"/>
  </cols>
  <sheetData/>
  <pageMargins left="0.7" right="0.7" top="0.75" bottom="0.75" header="0.3" footer="0.3"/>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1E6EA99-A785-4344-A61F-032E4BA2C0DD}">
  <dimension ref="A1"/>
  <sheetViews>
    <sheetView showGridLines="0" zoomScale="90" workbookViewId="0"/>
  </sheetViews>
  <sheetFormatPr defaultRowHeight="14.4" x14ac:dyDescent="0.3"/>
  <sheetData/>
  <pageMargins left="0.7" right="0.7" top="0.75" bottom="0.75" header="0.3" footer="0.3"/>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E31E8A3-0166-4A26-A47A-6D37FE03020F}">
  <dimension ref="A1"/>
  <sheetViews>
    <sheetView showGridLines="0" zoomScale="90" workbookViewId="0"/>
  </sheetViews>
  <sheetFormatPr defaultRowHeight="14.4" x14ac:dyDescent="0.3"/>
  <sheetData/>
  <pageMargins left="0.7" right="0.7" top="0.75" bottom="0.75" header="0.3" footer="0.3"/>
  <drawing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_rels/item6.xml.rels><?xml version="1.0" encoding="UTF-8" standalone="yes"?>
<Relationships xmlns="http://schemas.openxmlformats.org/package/2006/relationships"><Relationship Id="rId1" Type="http://schemas.openxmlformats.org/officeDocument/2006/relationships/customXmlProps" Target="itemProps6.xml"/></Relationships>
</file>

<file path=customXml/_rels/item7.xml.rels><?xml version="1.0" encoding="UTF-8" standalone="yes"?>
<Relationships xmlns="http://schemas.openxmlformats.org/package/2006/relationships"><Relationship Id="rId1" Type="http://schemas.openxmlformats.org/officeDocument/2006/relationships/customXmlProps" Target="itemProps7.xml"/></Relationships>
</file>

<file path=customXml/_rels/item8.xml.rels><?xml version="1.0" encoding="UTF-8" standalone="yes"?>
<Relationships xmlns="http://schemas.openxmlformats.org/package/2006/relationships"><Relationship Id="rId1" Type="http://schemas.openxmlformats.org/officeDocument/2006/relationships/customXmlProps" Target="itemProps8.xml"/></Relationships>
</file>

<file path=customXml/_rels/item9.xml.rels><?xml version="1.0" encoding="UTF-8" standalone="yes"?>
<Relationships xmlns="http://schemas.openxmlformats.org/package/2006/relationships"><Relationship Id="rId1" Type="http://schemas.openxmlformats.org/officeDocument/2006/relationships/customXmlProps" Target="itemProps9.xml"/></Relationships>
</file>

<file path=customXml/_rels/item10.xml.rels><?xml version="1.0" encoding="UTF-8" standalone="yes"?>
<Relationships xmlns="http://schemas.openxmlformats.org/package/2006/relationships"><Relationship Id="rId1" Type="http://schemas.openxmlformats.org/officeDocument/2006/relationships/customXmlProps" Target="itemProps10.xml"/></Relationships>
</file>

<file path=customXml/_rels/item11.xml.rels><?xml version="1.0" encoding="UTF-8" standalone="yes"?>
<Relationships xmlns="http://schemas.openxmlformats.org/package/2006/relationships"><Relationship Id="rId1" Type="http://schemas.openxmlformats.org/officeDocument/2006/relationships/customXmlProps" Target="itemProps11.xml"/></Relationships>
</file>

<file path=customXml/_rels/item12.xml.rels><?xml version="1.0" encoding="UTF-8" standalone="yes"?>
<Relationships xmlns="http://schemas.openxmlformats.org/package/2006/relationships"><Relationship Id="rId1" Type="http://schemas.openxmlformats.org/officeDocument/2006/relationships/customXmlProps" Target="itemProps12.xml"/></Relationships>
</file>

<file path=customXml/item1.xml>��
</file>

<file path=customXml/item2.xml>��
</file>

<file path=customXml/item3.xml>��
</file>

<file path=customXml/item4.xml>��
</file>

<file path=customXml/item5.xml>��
</file>

<file path=customXml/item6.xml>��
</file>

<file path=customXml/item7.xml>��
</file>

<file path=customXml/item8.xml>��
</file>

<file path=customXml/item9.xml>��
</file>

<file path=customXml/item10.xml>��
</file>

<file path=customXml/item11.xml>��
</file>

<file path=customXml/item12.xml>��
</file>

<file path=customXml/itemProps1.xml><?xml version="1.0" encoding="utf-8"?>
<ds:datastoreItem xmlns:ds="http://schemas.openxmlformats.org/officeDocument/2006/customXml" ds:itemID="{FF6DA7DB-2B5A-4B74-8A5C-4F8F3DFBCD2A}">
  <ds:schemaRefs/>
</ds:datastoreItem>
</file>

<file path=customXml/itemProps2.xml><?xml version="1.0" encoding="utf-8"?>
<ds:datastoreItem xmlns:ds="http://schemas.openxmlformats.org/officeDocument/2006/customXml" ds:itemID="{9A780AB9-178D-4C65-84F6-A30A71F9AA51}">
  <ds:schemaRefs/>
</ds:datastoreItem>
</file>

<file path=customXml/itemProps3.xml><?xml version="1.0" encoding="utf-8"?>
<ds:datastoreItem xmlns:ds="http://schemas.openxmlformats.org/officeDocument/2006/customXml" ds:itemID="{4FF29C71-B3B8-4A0D-97E9-B7804F77EC8D}">
  <ds:schemaRefs/>
</ds:datastoreItem>
</file>

<file path=customXml/itemProps4.xml><?xml version="1.0" encoding="utf-8"?>
<ds:datastoreItem xmlns:ds="http://schemas.openxmlformats.org/officeDocument/2006/customXml" ds:itemID="{7A940A78-F8B5-4A7C-8413-9ADC0614B505}">
  <ds:schemaRefs/>
</ds:datastoreItem>
</file>

<file path=customXml/itemProps5.xml><?xml version="1.0" encoding="utf-8"?>
<ds:datastoreItem xmlns:ds="http://schemas.openxmlformats.org/officeDocument/2006/customXml" ds:itemID="{97DBB346-1F12-4A15-A005-034BB2C70FE7}">
  <ds:schemaRefs/>
</ds:datastoreItem>
</file>

<file path=customXml/itemProps6.xml><?xml version="1.0" encoding="utf-8"?>
<ds:datastoreItem xmlns:ds="http://schemas.openxmlformats.org/officeDocument/2006/customXml" ds:itemID="{EC0C378C-0CDE-423E-8D73-FA9D2BDF71E7}">
  <ds:schemaRefs>
    <ds:schemaRef ds:uri="http://schemas.microsoft.com/DataMashup"/>
  </ds:schemaRefs>
</ds:datastoreItem>
</file>

<file path=customXml/itemProps7.xml><?xml version="1.0" encoding="utf-8"?>
<ds:datastoreItem xmlns:ds="http://schemas.openxmlformats.org/officeDocument/2006/customXml" ds:itemID="{67C373FC-34F1-4594-AC44-D10FE80A3727}">
  <ds:schemaRefs/>
</ds:datastoreItem>
</file>

<file path=customXml/itemProps8.xml><?xml version="1.0" encoding="utf-8"?>
<ds:datastoreItem xmlns:ds="http://schemas.openxmlformats.org/officeDocument/2006/customXml" ds:itemID="{6FC7A03C-5260-4598-99F2-BDCF78AE9001}">
  <ds:schemaRefs/>
</ds:datastoreItem>
</file>

<file path=customXml/itemProps9.xml><?xml version="1.0" encoding="utf-8"?>
<ds:datastoreItem xmlns:ds="http://schemas.openxmlformats.org/officeDocument/2006/customXml" ds:itemID="{4C91308C-876C-418E-BD9B-35B5F29DEDA6}">
  <ds:schemaRefs/>
</ds:datastoreItem>
</file>

<file path=customXml/itemProps10.xml><?xml version="1.0" encoding="utf-8"?>
<ds:datastoreItem xmlns:ds="http://schemas.openxmlformats.org/officeDocument/2006/customXml" ds:itemID="{27571F46-E18A-4AB4-8737-29DCBC0FE2FC}">
  <ds:schemaRefs/>
</ds:datastoreItem>
</file>

<file path=customXml/itemProps11.xml><?xml version="1.0" encoding="utf-8"?>
<ds:datastoreItem xmlns:ds="http://schemas.openxmlformats.org/officeDocument/2006/customXml" ds:itemID="{8A40E37E-81F8-4220-A493-F870921F9B88}">
  <ds:schemaRefs/>
</ds:datastoreItem>
</file>

<file path=customXml/itemProps12.xml><?xml version="1.0" encoding="utf-8"?>
<ds:datastoreItem xmlns:ds="http://schemas.openxmlformats.org/officeDocument/2006/customXml" ds:itemID="{3C15E7F3-BBDA-4878-BC74-D1439A966AE5}">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pivot report</vt:lpstr>
      <vt:lpstr>Dashboard</vt:lpstr>
      <vt:lpstr>daily er no of patient</vt:lpstr>
      <vt:lpstr>avg wait time daily trend</vt:lpstr>
      <vt:lpstr>satisfaction score daily trends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surag devadiga</dc:creator>
  <cp:lastModifiedBy>surag devadiga</cp:lastModifiedBy>
  <cp:lastPrinted>2026-01-13T05:39:35Z</cp:lastPrinted>
  <dcterms:created xsi:type="dcterms:W3CDTF">2026-01-13T04:47:06Z</dcterms:created>
  <dcterms:modified xsi:type="dcterms:W3CDTF">2026-01-13T16:11:24Z</dcterms:modified>
</cp:coreProperties>
</file>